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f34a8c2910936b/Documentos/"/>
    </mc:Choice>
  </mc:AlternateContent>
  <xr:revisionPtr revIDLastSave="14" documentId="8_{C2AC7C19-2A8C-4764-BB8F-D1DBFD57E00F}" xr6:coauthVersionLast="47" xr6:coauthVersionMax="47" xr10:uidLastSave="{ADE396B0-2660-4EC9-8107-5541C1477078}"/>
  <bookViews>
    <workbookView xWindow="-80" yWindow="-80" windowWidth="19360" windowHeight="10240" xr2:uid="{D35EB7CB-D5C8-46D2-9EE5-B3A61200CEEB}"/>
  </bookViews>
  <sheets>
    <sheet name="Despesas Detalhe" sheetId="17" r:id="rId1"/>
    <sheet name="Despesas (Totalizadas)" sheetId="18" r:id="rId2"/>
    <sheet name="Fatores (Contas)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8" i="17" l="1" a="1"/>
  <c r="K38" i="17" s="1"/>
  <c r="K29" i="17" a="1"/>
  <c r="K29" i="17" s="1"/>
  <c r="K74" i="17" a="1"/>
  <c r="K74" i="17" s="1"/>
  <c r="K2" i="17" a="1"/>
  <c r="K2" i="17" s="1"/>
  <c r="K65" i="17" a="1"/>
  <c r="K65" i="17" s="1"/>
  <c r="K56" i="17" a="1"/>
  <c r="K56" i="17" s="1"/>
  <c r="K47" i="17" a="1"/>
  <c r="K47" i="17" s="1"/>
  <c r="K11" i="17" a="1"/>
  <c r="K11" i="17" s="1"/>
  <c r="K101" i="17" a="1"/>
  <c r="K101" i="17" s="1"/>
  <c r="K92" i="17" a="1"/>
  <c r="K92" i="17" s="1"/>
  <c r="K83" i="17" a="1"/>
  <c r="K83" i="17" s="1"/>
  <c r="K20" i="17" a="1"/>
  <c r="K20" i="17" s="1"/>
  <c r="K146" i="17" a="1"/>
  <c r="K146" i="17" s="1"/>
  <c r="K137" i="17" a="1"/>
  <c r="K137" i="17" s="1"/>
  <c r="K182" i="17" a="1"/>
  <c r="K182" i="17" s="1"/>
  <c r="K110" i="17" a="1"/>
  <c r="K110" i="17" s="1"/>
  <c r="K173" i="17" a="1"/>
  <c r="K173" i="17" s="1"/>
  <c r="K164" i="17" a="1"/>
  <c r="K164" i="17" s="1"/>
  <c r="K155" i="17" a="1"/>
  <c r="K155" i="17" s="1"/>
  <c r="K119" i="17" a="1"/>
  <c r="K119" i="17" s="1"/>
  <c r="K209" i="17" a="1"/>
  <c r="K209" i="17" s="1"/>
  <c r="K200" i="17" a="1"/>
  <c r="K200" i="17" s="1"/>
  <c r="K191" i="17" a="1"/>
  <c r="K191" i="17" s="1"/>
  <c r="K128" i="17" a="1"/>
  <c r="K128" i="17" s="1"/>
  <c r="K254" i="17" a="1"/>
  <c r="K254" i="17" s="1"/>
  <c r="K245" i="17" a="1"/>
  <c r="K245" i="17" s="1"/>
  <c r="K290" i="17" a="1"/>
  <c r="K290" i="17" s="1"/>
  <c r="K218" i="17" a="1"/>
  <c r="K218" i="17" s="1"/>
  <c r="K281" i="17" a="1"/>
  <c r="K281" i="17" s="1"/>
  <c r="K272" i="17" a="1"/>
  <c r="K272" i="17" s="1"/>
  <c r="K263" i="17" a="1"/>
  <c r="K263" i="17" s="1"/>
  <c r="K227" i="17" a="1"/>
  <c r="K227" i="17" s="1"/>
  <c r="K317" i="17" a="1"/>
  <c r="K317" i="17" s="1"/>
  <c r="K308" i="17" a="1"/>
  <c r="K308" i="17" s="1"/>
  <c r="K299" i="17" a="1"/>
  <c r="K299" i="17" s="1"/>
  <c r="K236" i="17" a="1"/>
  <c r="K236" i="17" s="1"/>
  <c r="K364" i="17" a="1"/>
  <c r="K364" i="17" s="1"/>
  <c r="K354" i="17" a="1"/>
  <c r="K354" i="17" s="1"/>
  <c r="K402" i="17" a="1"/>
  <c r="K402" i="17" s="1"/>
  <c r="K326" i="17" a="1"/>
  <c r="K326" i="17" s="1"/>
  <c r="K392" i="17" a="1"/>
  <c r="K392" i="17" s="1"/>
  <c r="K383" i="17" a="1"/>
  <c r="K383" i="17" s="1"/>
  <c r="K374" i="17" a="1"/>
  <c r="K374" i="17" s="1"/>
  <c r="K336" i="17" a="1"/>
  <c r="K336" i="17" s="1"/>
  <c r="K430" i="17" a="1"/>
  <c r="K430" i="17" s="1"/>
  <c r="K421" i="17" a="1"/>
  <c r="K421" i="17" s="1"/>
  <c r="K412" i="17" a="1"/>
  <c r="K412" i="17" s="1"/>
  <c r="K345" i="17" a="1"/>
  <c r="K345" i="17" s="1"/>
  <c r="K39" i="17" a="1"/>
  <c r="K39" i="17" s="1"/>
  <c r="K30" i="17" a="1"/>
  <c r="K30" i="17" s="1"/>
  <c r="K75" i="17" a="1"/>
  <c r="K75" i="17" s="1"/>
  <c r="K3" i="17" a="1"/>
  <c r="K3" i="17" s="1"/>
  <c r="K66" i="17" a="1"/>
  <c r="K66" i="17" s="1"/>
  <c r="K57" i="17" a="1"/>
  <c r="K57" i="17" s="1"/>
  <c r="K48" i="17" a="1"/>
  <c r="K48" i="17" s="1"/>
  <c r="K12" i="17" a="1"/>
  <c r="K12" i="17" s="1"/>
  <c r="K102" i="17" a="1"/>
  <c r="K102" i="17" s="1"/>
  <c r="K93" i="17" a="1"/>
  <c r="K93" i="17" s="1"/>
  <c r="K84" i="17" a="1"/>
  <c r="K84" i="17" s="1"/>
  <c r="K21" i="17" a="1"/>
  <c r="K21" i="17" s="1"/>
  <c r="K147" i="17" a="1"/>
  <c r="K147" i="17" s="1"/>
  <c r="K138" i="17" a="1"/>
  <c r="K138" i="17" s="1"/>
  <c r="K183" i="17" a="1"/>
  <c r="K183" i="17" s="1"/>
  <c r="K111" i="17" a="1"/>
  <c r="K111" i="17" s="1"/>
  <c r="K174" i="17" a="1"/>
  <c r="K174" i="17" s="1"/>
  <c r="K165" i="17" a="1"/>
  <c r="K165" i="17" s="1"/>
  <c r="K156" i="17" a="1"/>
  <c r="K156" i="17" s="1"/>
  <c r="K120" i="17" a="1"/>
  <c r="K120" i="17" s="1"/>
  <c r="K210" i="17" a="1"/>
  <c r="K210" i="17" s="1"/>
  <c r="K201" i="17" a="1"/>
  <c r="K201" i="17" s="1"/>
  <c r="K192" i="17" a="1"/>
  <c r="K192" i="17" s="1"/>
  <c r="K129" i="17" a="1"/>
  <c r="K129" i="17" s="1"/>
  <c r="K255" i="17" a="1"/>
  <c r="K255" i="17" s="1"/>
  <c r="K246" i="17" a="1"/>
  <c r="K246" i="17" s="1"/>
  <c r="K291" i="17" a="1"/>
  <c r="K291" i="17" s="1"/>
  <c r="K219" i="17" a="1"/>
  <c r="K219" i="17" s="1"/>
  <c r="K282" i="17" a="1"/>
  <c r="K282" i="17" s="1"/>
  <c r="K273" i="17" a="1"/>
  <c r="K273" i="17" s="1"/>
  <c r="K264" i="17" a="1"/>
  <c r="K264" i="17" s="1"/>
  <c r="K228" i="17" a="1"/>
  <c r="K228" i="17" s="1"/>
  <c r="K318" i="17" a="1"/>
  <c r="K318" i="17" s="1"/>
  <c r="K309" i="17" a="1"/>
  <c r="K309" i="17" s="1"/>
  <c r="K300" i="17" a="1"/>
  <c r="K300" i="17" s="1"/>
  <c r="K237" i="17" a="1"/>
  <c r="K237" i="17" s="1"/>
  <c r="K365" i="17" a="1"/>
  <c r="K365" i="17" s="1"/>
  <c r="K355" i="17" a="1"/>
  <c r="K355" i="17" s="1"/>
  <c r="K403" i="17" a="1"/>
  <c r="K403" i="17" s="1"/>
  <c r="K327" i="17" a="1"/>
  <c r="K327" i="17" s="1"/>
  <c r="K393" i="17" a="1"/>
  <c r="K393" i="17" s="1"/>
  <c r="K384" i="17" a="1"/>
  <c r="K384" i="17" s="1"/>
  <c r="K375" i="17" a="1"/>
  <c r="K375" i="17" s="1"/>
  <c r="K337" i="17" a="1"/>
  <c r="K337" i="17" s="1"/>
  <c r="K431" i="17" a="1"/>
  <c r="K431" i="17" s="1"/>
  <c r="K422" i="17" a="1"/>
  <c r="K422" i="17" s="1"/>
  <c r="K413" i="17" a="1"/>
  <c r="K413" i="17" s="1"/>
  <c r="K346" i="17" a="1"/>
  <c r="K346" i="17" s="1"/>
  <c r="K40" i="17" a="1"/>
  <c r="K40" i="17" s="1"/>
  <c r="K31" i="17" a="1"/>
  <c r="K31" i="17" s="1"/>
  <c r="K76" i="17" a="1"/>
  <c r="K76" i="17" s="1"/>
  <c r="K4" i="17" a="1"/>
  <c r="K4" i="17" s="1"/>
  <c r="K67" i="17" a="1"/>
  <c r="K67" i="17" s="1"/>
  <c r="K58" i="17" a="1"/>
  <c r="K58" i="17" s="1"/>
  <c r="K49" i="17" a="1"/>
  <c r="K49" i="17" s="1"/>
  <c r="K13" i="17" a="1"/>
  <c r="K13" i="17" s="1"/>
  <c r="K103" i="17" a="1"/>
  <c r="K103" i="17" s="1"/>
  <c r="K94" i="17" a="1"/>
  <c r="K94" i="17" s="1"/>
  <c r="K85" i="17" a="1"/>
  <c r="K85" i="17" s="1"/>
  <c r="K22" i="17" a="1"/>
  <c r="K22" i="17" s="1"/>
  <c r="K148" i="17" a="1"/>
  <c r="K148" i="17" s="1"/>
  <c r="K139" i="17" a="1"/>
  <c r="K139" i="17" s="1"/>
  <c r="K184" i="17" a="1"/>
  <c r="K184" i="17" s="1"/>
  <c r="K112" i="17" a="1"/>
  <c r="K112" i="17" s="1"/>
  <c r="K175" i="17" a="1"/>
  <c r="K175" i="17" s="1"/>
  <c r="K166" i="17" a="1"/>
  <c r="K166" i="17" s="1"/>
  <c r="K157" i="17" a="1"/>
  <c r="K157" i="17" s="1"/>
  <c r="K121" i="17" a="1"/>
  <c r="K121" i="17" s="1"/>
  <c r="K211" i="17" a="1"/>
  <c r="K211" i="17" s="1"/>
  <c r="K202" i="17" a="1"/>
  <c r="K202" i="17" s="1"/>
  <c r="K193" i="17" a="1"/>
  <c r="K193" i="17" s="1"/>
  <c r="K130" i="17" a="1"/>
  <c r="K130" i="17" s="1"/>
  <c r="K256" i="17" a="1"/>
  <c r="K256" i="17" s="1"/>
  <c r="K247" i="17" a="1"/>
  <c r="K247" i="17" s="1"/>
  <c r="K292" i="17" a="1"/>
  <c r="K292" i="17" s="1"/>
  <c r="K220" i="17" a="1"/>
  <c r="K220" i="17" s="1"/>
  <c r="K283" i="17" a="1"/>
  <c r="K283" i="17" s="1"/>
  <c r="K274" i="17" a="1"/>
  <c r="K274" i="17" s="1"/>
  <c r="K265" i="17" a="1"/>
  <c r="K265" i="17" s="1"/>
  <c r="K229" i="17" a="1"/>
  <c r="K229" i="17" s="1"/>
  <c r="K319" i="17" a="1"/>
  <c r="K319" i="17" s="1"/>
  <c r="K310" i="17" a="1"/>
  <c r="K310" i="17" s="1"/>
  <c r="K301" i="17" a="1"/>
  <c r="K301" i="17" s="1"/>
  <c r="K238" i="17" a="1"/>
  <c r="K238" i="17" s="1"/>
  <c r="K366" i="17" a="1"/>
  <c r="K366" i="17" s="1"/>
  <c r="K356" i="17" a="1"/>
  <c r="K356" i="17" s="1"/>
  <c r="K404" i="17" a="1"/>
  <c r="K404" i="17" s="1"/>
  <c r="K328" i="17" a="1"/>
  <c r="K328" i="17" s="1"/>
  <c r="K394" i="17" a="1"/>
  <c r="K394" i="17" s="1"/>
  <c r="K385" i="17" a="1"/>
  <c r="K385" i="17" s="1"/>
  <c r="K376" i="17" a="1"/>
  <c r="K376" i="17" s="1"/>
  <c r="K338" i="17" a="1"/>
  <c r="K338" i="17" s="1"/>
  <c r="K432" i="17" a="1"/>
  <c r="K432" i="17" s="1"/>
  <c r="K423" i="17" a="1"/>
  <c r="K423" i="17" s="1"/>
  <c r="K414" i="17" a="1"/>
  <c r="K414" i="17" s="1"/>
  <c r="K347" i="17" a="1"/>
  <c r="K347" i="17" s="1"/>
  <c r="K41" i="17" a="1"/>
  <c r="K41" i="17" s="1"/>
  <c r="K32" i="17" a="1"/>
  <c r="K32" i="17" s="1"/>
  <c r="K77" i="17" a="1"/>
  <c r="K77" i="17" s="1"/>
  <c r="K5" i="17" a="1"/>
  <c r="K5" i="17" s="1"/>
  <c r="K68" i="17" a="1"/>
  <c r="K68" i="17" s="1"/>
  <c r="K59" i="17" a="1"/>
  <c r="K59" i="17" s="1"/>
  <c r="K50" i="17" a="1"/>
  <c r="K50" i="17" s="1"/>
  <c r="K14" i="17" a="1"/>
  <c r="K14" i="17" s="1"/>
  <c r="K104" i="17" a="1"/>
  <c r="K104" i="17" s="1"/>
  <c r="K95" i="17" a="1"/>
  <c r="K95" i="17" s="1"/>
  <c r="K86" i="17" a="1"/>
  <c r="K86" i="17" s="1"/>
  <c r="K23" i="17" a="1"/>
  <c r="K23" i="17" s="1"/>
  <c r="K149" i="17" a="1"/>
  <c r="K149" i="17" s="1"/>
  <c r="K140" i="17" a="1"/>
  <c r="K140" i="17" s="1"/>
  <c r="K185" i="17" a="1"/>
  <c r="K185" i="17" s="1"/>
  <c r="K113" i="17" a="1"/>
  <c r="K113" i="17" s="1"/>
  <c r="K176" i="17" a="1"/>
  <c r="K176" i="17" s="1"/>
  <c r="K167" i="17" a="1"/>
  <c r="K167" i="17" s="1"/>
  <c r="K158" i="17" a="1"/>
  <c r="K158" i="17" s="1"/>
  <c r="K122" i="17" a="1"/>
  <c r="K122" i="17" s="1"/>
  <c r="K212" i="17" a="1"/>
  <c r="K212" i="17" s="1"/>
  <c r="K203" i="17" a="1"/>
  <c r="K203" i="17" s="1"/>
  <c r="K194" i="17" a="1"/>
  <c r="K194" i="17" s="1"/>
  <c r="K131" i="17" a="1"/>
  <c r="K131" i="17" s="1"/>
  <c r="K257" i="17" a="1"/>
  <c r="K257" i="17" s="1"/>
  <c r="K248" i="17" a="1"/>
  <c r="K248" i="17" s="1"/>
  <c r="K293" i="17" a="1"/>
  <c r="K293" i="17" s="1"/>
  <c r="K221" i="17" a="1"/>
  <c r="K221" i="17" s="1"/>
  <c r="K284" i="17" a="1"/>
  <c r="K284" i="17" s="1"/>
  <c r="K275" i="17" a="1"/>
  <c r="K275" i="17" s="1"/>
  <c r="K266" i="17" a="1"/>
  <c r="K266" i="17" s="1"/>
  <c r="K230" i="17" a="1"/>
  <c r="K230" i="17" s="1"/>
  <c r="K320" i="17" a="1"/>
  <c r="K320" i="17" s="1"/>
  <c r="K311" i="17" a="1"/>
  <c r="K311" i="17" s="1"/>
  <c r="K302" i="17" a="1"/>
  <c r="K302" i="17" s="1"/>
  <c r="K239" i="17" a="1"/>
  <c r="K239" i="17" s="1"/>
  <c r="K367" i="17" a="1"/>
  <c r="K367" i="17" s="1"/>
  <c r="K357" i="17" a="1"/>
  <c r="K357" i="17" s="1"/>
  <c r="K405" i="17" a="1"/>
  <c r="K405" i="17" s="1"/>
  <c r="K329" i="17" a="1"/>
  <c r="K329" i="17" s="1"/>
  <c r="K395" i="17" a="1"/>
  <c r="K395" i="17" s="1"/>
  <c r="K386" i="17" a="1"/>
  <c r="K386" i="17" s="1"/>
  <c r="K377" i="17" a="1"/>
  <c r="K377" i="17" s="1"/>
  <c r="K339" i="17" a="1"/>
  <c r="K339" i="17" s="1"/>
  <c r="K433" i="17" a="1"/>
  <c r="K433" i="17" s="1"/>
  <c r="K424" i="17" a="1"/>
  <c r="K424" i="17" s="1"/>
  <c r="K415" i="17" a="1"/>
  <c r="K415" i="17" s="1"/>
  <c r="K348" i="17" a="1"/>
  <c r="K348" i="17" s="1"/>
  <c r="K42" i="17" a="1"/>
  <c r="K42" i="17" s="1"/>
  <c r="K33" i="17" a="1"/>
  <c r="K33" i="17" s="1"/>
  <c r="K78" i="17" a="1"/>
  <c r="K78" i="17" s="1"/>
  <c r="K6" i="17" a="1"/>
  <c r="K6" i="17" s="1"/>
  <c r="K69" i="17" a="1"/>
  <c r="K69" i="17" s="1"/>
  <c r="K60" i="17" a="1"/>
  <c r="K60" i="17" s="1"/>
  <c r="K51" i="17" a="1"/>
  <c r="K51" i="17" s="1"/>
  <c r="K15" i="17" a="1"/>
  <c r="K15" i="17" s="1"/>
  <c r="K105" i="17" a="1"/>
  <c r="K105" i="17" s="1"/>
  <c r="K96" i="17" a="1"/>
  <c r="K96" i="17" s="1"/>
  <c r="K87" i="17" a="1"/>
  <c r="K87" i="17" s="1"/>
  <c r="K24" i="17" a="1"/>
  <c r="K24" i="17" s="1"/>
  <c r="K150" i="17" a="1"/>
  <c r="K150" i="17" s="1"/>
  <c r="K141" i="17" a="1"/>
  <c r="K141" i="17" s="1"/>
  <c r="K186" i="17" a="1"/>
  <c r="K186" i="17" s="1"/>
  <c r="K114" i="17" a="1"/>
  <c r="K114" i="17" s="1"/>
  <c r="K177" i="17" a="1"/>
  <c r="K177" i="17" s="1"/>
  <c r="K168" i="17" a="1"/>
  <c r="K168" i="17" s="1"/>
  <c r="K159" i="17" a="1"/>
  <c r="K159" i="17" s="1"/>
  <c r="K123" i="17" a="1"/>
  <c r="K123" i="17" s="1"/>
  <c r="K213" i="17" a="1"/>
  <c r="K213" i="17" s="1"/>
  <c r="K204" i="17" a="1"/>
  <c r="K204" i="17" s="1"/>
  <c r="K195" i="17" a="1"/>
  <c r="K195" i="17" s="1"/>
  <c r="K132" i="17" a="1"/>
  <c r="K132" i="17" s="1"/>
  <c r="K258" i="17" a="1"/>
  <c r="K258" i="17" s="1"/>
  <c r="K249" i="17" a="1"/>
  <c r="K249" i="17" s="1"/>
  <c r="K294" i="17" a="1"/>
  <c r="K294" i="17" s="1"/>
  <c r="K222" i="17" a="1"/>
  <c r="K222" i="17" s="1"/>
  <c r="K285" i="17" a="1"/>
  <c r="K285" i="17" s="1"/>
  <c r="K276" i="17" a="1"/>
  <c r="K276" i="17" s="1"/>
  <c r="K267" i="17" a="1"/>
  <c r="K267" i="17" s="1"/>
  <c r="K231" i="17" a="1"/>
  <c r="K231" i="17" s="1"/>
  <c r="K321" i="17" a="1"/>
  <c r="K321" i="17" s="1"/>
  <c r="K312" i="17" a="1"/>
  <c r="K312" i="17" s="1"/>
  <c r="K303" i="17" a="1"/>
  <c r="K303" i="17" s="1"/>
  <c r="K240" i="17" a="1"/>
  <c r="K240" i="17" s="1"/>
  <c r="K368" i="17" a="1"/>
  <c r="K368" i="17" s="1"/>
  <c r="K358" i="17" a="1"/>
  <c r="K358" i="17" s="1"/>
  <c r="K406" i="17" a="1"/>
  <c r="K406" i="17" s="1"/>
  <c r="K330" i="17" a="1"/>
  <c r="K330" i="17" s="1"/>
  <c r="K396" i="17" a="1"/>
  <c r="K396" i="17" s="1"/>
  <c r="K387" i="17" a="1"/>
  <c r="K387" i="17" s="1"/>
  <c r="K378" i="17" a="1"/>
  <c r="K378" i="17" s="1"/>
  <c r="K340" i="17" a="1"/>
  <c r="K340" i="17" s="1"/>
  <c r="K434" i="17" a="1"/>
  <c r="K434" i="17" s="1"/>
  <c r="K425" i="17" a="1"/>
  <c r="K425" i="17" s="1"/>
  <c r="K416" i="17" a="1"/>
  <c r="K416" i="17" s="1"/>
  <c r="K349" i="17" a="1"/>
  <c r="K349" i="17" s="1"/>
  <c r="K43" i="17" a="1"/>
  <c r="K43" i="17" s="1"/>
  <c r="K34" i="17" a="1"/>
  <c r="K34" i="17" s="1"/>
  <c r="K79" i="17" a="1"/>
  <c r="K79" i="17" s="1"/>
  <c r="K7" i="17" a="1"/>
  <c r="K7" i="17" s="1"/>
  <c r="K70" i="17" a="1"/>
  <c r="K70" i="17" s="1"/>
  <c r="K61" i="17" a="1"/>
  <c r="K61" i="17" s="1"/>
  <c r="K52" i="17" a="1"/>
  <c r="K52" i="17" s="1"/>
  <c r="K16" i="17" a="1"/>
  <c r="K16" i="17" s="1"/>
  <c r="K106" i="17" a="1"/>
  <c r="K106" i="17" s="1"/>
  <c r="K97" i="17" a="1"/>
  <c r="K97" i="17" s="1"/>
  <c r="K88" i="17" a="1"/>
  <c r="K88" i="17" s="1"/>
  <c r="K25" i="17" a="1"/>
  <c r="K25" i="17" s="1"/>
  <c r="K151" i="17" a="1"/>
  <c r="K151" i="17" s="1"/>
  <c r="K142" i="17" a="1"/>
  <c r="K142" i="17" s="1"/>
  <c r="K187" i="17" a="1"/>
  <c r="K187" i="17" s="1"/>
  <c r="K115" i="17" a="1"/>
  <c r="K115" i="17" s="1"/>
  <c r="K178" i="17" a="1"/>
  <c r="K178" i="17" s="1"/>
  <c r="K169" i="17" a="1"/>
  <c r="K169" i="17" s="1"/>
  <c r="K160" i="17" a="1"/>
  <c r="K160" i="17" s="1"/>
  <c r="K124" i="17" a="1"/>
  <c r="K124" i="17" s="1"/>
  <c r="K214" i="17" a="1"/>
  <c r="K214" i="17" s="1"/>
  <c r="K205" i="17" a="1"/>
  <c r="K205" i="17" s="1"/>
  <c r="K196" i="17" a="1"/>
  <c r="K196" i="17" s="1"/>
  <c r="K133" i="17" a="1"/>
  <c r="K133" i="17" s="1"/>
  <c r="K259" i="17" a="1"/>
  <c r="K259" i="17" s="1"/>
  <c r="K250" i="17" a="1"/>
  <c r="K250" i="17" s="1"/>
  <c r="K295" i="17" a="1"/>
  <c r="K295" i="17" s="1"/>
  <c r="K223" i="17" a="1"/>
  <c r="K223" i="17" s="1"/>
  <c r="K286" i="17" a="1"/>
  <c r="K286" i="17" s="1"/>
  <c r="K277" i="17" a="1"/>
  <c r="K277" i="17" s="1"/>
  <c r="K268" i="17" a="1"/>
  <c r="K268" i="17" s="1"/>
  <c r="K232" i="17" a="1"/>
  <c r="K232" i="17" s="1"/>
  <c r="K322" i="17" a="1"/>
  <c r="K322" i="17" s="1"/>
  <c r="K313" i="17" a="1"/>
  <c r="K313" i="17" s="1"/>
  <c r="K304" i="17" a="1"/>
  <c r="K304" i="17" s="1"/>
  <c r="K241" i="17" a="1"/>
  <c r="K241" i="17" s="1"/>
  <c r="K369" i="17" a="1"/>
  <c r="K369" i="17" s="1"/>
  <c r="K359" i="17" a="1"/>
  <c r="K359" i="17" s="1"/>
  <c r="K407" i="17" a="1"/>
  <c r="K407" i="17" s="1"/>
  <c r="K331" i="17" a="1"/>
  <c r="K331" i="17" s="1"/>
  <c r="K397" i="17" a="1"/>
  <c r="K397" i="17" s="1"/>
  <c r="K388" i="17" a="1"/>
  <c r="K388" i="17" s="1"/>
  <c r="K379" i="17" a="1"/>
  <c r="K379" i="17" s="1"/>
  <c r="K341" i="17" a="1"/>
  <c r="K341" i="17" s="1"/>
  <c r="K435" i="17" a="1"/>
  <c r="K435" i="17" s="1"/>
  <c r="K426" i="17" a="1"/>
  <c r="K426" i="17" s="1"/>
  <c r="K417" i="17" a="1"/>
  <c r="K417" i="17" s="1"/>
  <c r="K350" i="17" a="1"/>
  <c r="K350" i="17" s="1"/>
  <c r="K44" i="17" a="1"/>
  <c r="K44" i="17" s="1"/>
  <c r="K35" i="17" a="1"/>
  <c r="K35" i="17" s="1"/>
  <c r="K80" i="17" a="1"/>
  <c r="K80" i="17" s="1"/>
  <c r="K8" i="17" a="1"/>
  <c r="K8" i="17" s="1"/>
  <c r="K71" i="17" a="1"/>
  <c r="K71" i="17" s="1"/>
  <c r="K62" i="17" a="1"/>
  <c r="K62" i="17" s="1"/>
  <c r="K53" i="17" a="1"/>
  <c r="K53" i="17" s="1"/>
  <c r="K17" i="17" a="1"/>
  <c r="K17" i="17" s="1"/>
  <c r="K107" i="17" a="1"/>
  <c r="K107" i="17" s="1"/>
  <c r="K98" i="17" a="1"/>
  <c r="K98" i="17" s="1"/>
  <c r="K89" i="17" a="1"/>
  <c r="K89" i="17" s="1"/>
  <c r="K26" i="17" a="1"/>
  <c r="K26" i="17" s="1"/>
  <c r="K152" i="17" a="1"/>
  <c r="K152" i="17" s="1"/>
  <c r="K143" i="17" a="1"/>
  <c r="K143" i="17" s="1"/>
  <c r="K188" i="17" a="1"/>
  <c r="K188" i="17" s="1"/>
  <c r="K116" i="17" a="1"/>
  <c r="K116" i="17" s="1"/>
  <c r="K179" i="17" a="1"/>
  <c r="K179" i="17" s="1"/>
  <c r="K170" i="17" a="1"/>
  <c r="K170" i="17" s="1"/>
  <c r="K161" i="17" a="1"/>
  <c r="K161" i="17" s="1"/>
  <c r="K125" i="17" a="1"/>
  <c r="K125" i="17" s="1"/>
  <c r="K215" i="17" a="1"/>
  <c r="K215" i="17" s="1"/>
  <c r="K206" i="17" a="1"/>
  <c r="K206" i="17" s="1"/>
  <c r="K197" i="17" a="1"/>
  <c r="K197" i="17" s="1"/>
  <c r="K134" i="17" a="1"/>
  <c r="K134" i="17" s="1"/>
  <c r="K260" i="17" a="1"/>
  <c r="K260" i="17" s="1"/>
  <c r="K251" i="17" a="1"/>
  <c r="K251" i="17" s="1"/>
  <c r="K296" i="17" a="1"/>
  <c r="K296" i="17" s="1"/>
  <c r="K224" i="17" a="1"/>
  <c r="K224" i="17" s="1"/>
  <c r="K287" i="17" a="1"/>
  <c r="K287" i="17" s="1"/>
  <c r="K278" i="17" a="1"/>
  <c r="K278" i="17" s="1"/>
  <c r="K269" i="17" a="1"/>
  <c r="K269" i="17" s="1"/>
  <c r="K233" i="17" a="1"/>
  <c r="K233" i="17" s="1"/>
  <c r="K323" i="17" a="1"/>
  <c r="K323" i="17" s="1"/>
  <c r="K314" i="17" a="1"/>
  <c r="K314" i="17" s="1"/>
  <c r="K305" i="17" a="1"/>
  <c r="K305" i="17" s="1"/>
  <c r="K242" i="17" a="1"/>
  <c r="K242" i="17" s="1"/>
  <c r="K370" i="17" a="1"/>
  <c r="K370" i="17" s="1"/>
  <c r="K360" i="17" a="1"/>
  <c r="K360" i="17" s="1"/>
  <c r="K408" i="17" a="1"/>
  <c r="K408" i="17" s="1"/>
  <c r="K332" i="17" a="1"/>
  <c r="K332" i="17" s="1"/>
  <c r="K398" i="17" a="1"/>
  <c r="K398" i="17" s="1"/>
  <c r="K389" i="17" a="1"/>
  <c r="K389" i="17" s="1"/>
  <c r="K380" i="17" a="1"/>
  <c r="K380" i="17" s="1"/>
  <c r="K342" i="17" a="1"/>
  <c r="K342" i="17" s="1"/>
  <c r="K436" i="17" a="1"/>
  <c r="K436" i="17" s="1"/>
  <c r="K427" i="17" a="1"/>
  <c r="K427" i="17" s="1"/>
  <c r="K418" i="17" a="1"/>
  <c r="K418" i="17" s="1"/>
  <c r="K351" i="17" a="1"/>
  <c r="K351" i="17" s="1"/>
  <c r="K45" i="17" a="1"/>
  <c r="K45" i="17" s="1"/>
  <c r="K36" i="17" a="1"/>
  <c r="K36" i="17" s="1"/>
  <c r="K81" i="17" a="1"/>
  <c r="K81" i="17" s="1"/>
  <c r="K9" i="17" a="1"/>
  <c r="K9" i="17" s="1"/>
  <c r="K72" i="17" a="1"/>
  <c r="K72" i="17" s="1"/>
  <c r="K63" i="17" a="1"/>
  <c r="K63" i="17" s="1"/>
  <c r="K54" i="17" a="1"/>
  <c r="K54" i="17" s="1"/>
  <c r="K18" i="17" a="1"/>
  <c r="K18" i="17" s="1"/>
  <c r="K108" i="17" a="1"/>
  <c r="K108" i="17" s="1"/>
  <c r="K99" i="17" a="1"/>
  <c r="K99" i="17" s="1"/>
  <c r="K90" i="17" a="1"/>
  <c r="K90" i="17" s="1"/>
  <c r="K27" i="17" a="1"/>
  <c r="K27" i="17" s="1"/>
  <c r="K153" i="17" a="1"/>
  <c r="K153" i="17" s="1"/>
  <c r="K144" i="17" a="1"/>
  <c r="K144" i="17" s="1"/>
  <c r="K189" i="17" a="1"/>
  <c r="K189" i="17" s="1"/>
  <c r="K117" i="17" a="1"/>
  <c r="K117" i="17" s="1"/>
  <c r="K180" i="17" a="1"/>
  <c r="K180" i="17" s="1"/>
  <c r="K171" i="17" a="1"/>
  <c r="K171" i="17" s="1"/>
  <c r="K162" i="17" a="1"/>
  <c r="K162" i="17" s="1"/>
  <c r="K126" i="17" a="1"/>
  <c r="K126" i="17" s="1"/>
  <c r="K216" i="17" a="1"/>
  <c r="K216" i="17" s="1"/>
  <c r="K207" i="17" a="1"/>
  <c r="K207" i="17" s="1"/>
  <c r="K198" i="17" a="1"/>
  <c r="K198" i="17" s="1"/>
  <c r="K135" i="17" a="1"/>
  <c r="K135" i="17" s="1"/>
  <c r="K261" i="17" a="1"/>
  <c r="K261" i="17" s="1"/>
  <c r="K252" i="17" a="1"/>
  <c r="K252" i="17" s="1"/>
  <c r="K297" i="17" a="1"/>
  <c r="K297" i="17" s="1"/>
  <c r="K225" i="17" a="1"/>
  <c r="K225" i="17" s="1"/>
  <c r="K288" i="17" a="1"/>
  <c r="K288" i="17" s="1"/>
  <c r="K279" i="17" a="1"/>
  <c r="K279" i="17" s="1"/>
  <c r="K270" i="17" a="1"/>
  <c r="K270" i="17" s="1"/>
  <c r="K234" i="17" a="1"/>
  <c r="K234" i="17" s="1"/>
  <c r="K324" i="17" a="1"/>
  <c r="K324" i="17" s="1"/>
  <c r="K315" i="17" a="1"/>
  <c r="K315" i="17" s="1"/>
  <c r="K306" i="17" a="1"/>
  <c r="K306" i="17" s="1"/>
  <c r="K243" i="17" a="1"/>
  <c r="K243" i="17" s="1"/>
  <c r="K371" i="17" a="1"/>
  <c r="K371" i="17" s="1"/>
  <c r="K361" i="17" a="1"/>
  <c r="K361" i="17" s="1"/>
  <c r="K409" i="17" a="1"/>
  <c r="K409" i="17" s="1"/>
  <c r="K333" i="17" a="1"/>
  <c r="K333" i="17" s="1"/>
  <c r="K399" i="17" a="1"/>
  <c r="K399" i="17" s="1"/>
  <c r="K390" i="17" a="1"/>
  <c r="K390" i="17" s="1"/>
  <c r="K381" i="17" a="1"/>
  <c r="K381" i="17" s="1"/>
  <c r="K343" i="17" a="1"/>
  <c r="K343" i="17" s="1"/>
  <c r="K437" i="17" a="1"/>
  <c r="K437" i="17" s="1"/>
  <c r="K428" i="17" a="1"/>
  <c r="K428" i="17" s="1"/>
  <c r="K419" i="17" a="1"/>
  <c r="K419" i="17" s="1"/>
  <c r="K352" i="17" a="1"/>
  <c r="K352" i="17" s="1"/>
  <c r="K46" i="17" a="1"/>
  <c r="K46" i="17" s="1"/>
  <c r="K37" i="17" a="1"/>
  <c r="K37" i="17" s="1"/>
  <c r="K82" i="17" a="1"/>
  <c r="K82" i="17" s="1"/>
  <c r="K10" i="17" a="1"/>
  <c r="K10" i="17" s="1"/>
  <c r="K73" i="17" a="1"/>
  <c r="K73" i="17" s="1"/>
  <c r="K64" i="17" a="1"/>
  <c r="K64" i="17" s="1"/>
  <c r="K55" i="17" a="1"/>
  <c r="K55" i="17" s="1"/>
  <c r="K19" i="17" a="1"/>
  <c r="K19" i="17" s="1"/>
  <c r="K109" i="17" a="1"/>
  <c r="K109" i="17" s="1"/>
  <c r="K100" i="17" a="1"/>
  <c r="K100" i="17" s="1"/>
  <c r="K91" i="17" a="1"/>
  <c r="K91" i="17" s="1"/>
  <c r="K28" i="17" a="1"/>
  <c r="K28" i="17" s="1"/>
  <c r="K154" i="17" a="1"/>
  <c r="K154" i="17" s="1"/>
  <c r="K145" i="17" a="1"/>
  <c r="K145" i="17" s="1"/>
  <c r="K190" i="17" a="1"/>
  <c r="K190" i="17" s="1"/>
  <c r="K118" i="17" a="1"/>
  <c r="K118" i="17" s="1"/>
  <c r="K181" i="17" a="1"/>
  <c r="K181" i="17" s="1"/>
  <c r="K172" i="17" a="1"/>
  <c r="K172" i="17" s="1"/>
  <c r="K163" i="17" a="1"/>
  <c r="K163" i="17" s="1"/>
  <c r="K127" i="17" a="1"/>
  <c r="K127" i="17" s="1"/>
  <c r="K217" i="17" a="1"/>
  <c r="K217" i="17" s="1"/>
  <c r="K208" i="17" a="1"/>
  <c r="K208" i="17" s="1"/>
  <c r="K199" i="17" a="1"/>
  <c r="K199" i="17" s="1"/>
  <c r="K136" i="17" a="1"/>
  <c r="K136" i="17" s="1"/>
  <c r="K262" i="17" a="1"/>
  <c r="K262" i="17" s="1"/>
  <c r="K253" i="17" a="1"/>
  <c r="K253" i="17" s="1"/>
  <c r="K298" i="17" a="1"/>
  <c r="K298" i="17" s="1"/>
  <c r="K226" i="17" a="1"/>
  <c r="K226" i="17" s="1"/>
  <c r="K289" i="17" a="1"/>
  <c r="K289" i="17" s="1"/>
  <c r="K280" i="17" a="1"/>
  <c r="K280" i="17" s="1"/>
  <c r="K271" i="17" a="1"/>
  <c r="K271" i="17" s="1"/>
  <c r="K235" i="17" a="1"/>
  <c r="K235" i="17" s="1"/>
  <c r="K325" i="17" a="1"/>
  <c r="K325" i="17" s="1"/>
  <c r="K316" i="17" a="1"/>
  <c r="K316" i="17" s="1"/>
  <c r="K307" i="17" a="1"/>
  <c r="K307" i="17" s="1"/>
  <c r="K244" i="17" a="1"/>
  <c r="K244" i="17" s="1"/>
  <c r="K372" i="17" a="1"/>
  <c r="K372" i="17" s="1"/>
  <c r="K362" i="17" a="1"/>
  <c r="K362" i="17" s="1"/>
  <c r="K410" i="17" a="1"/>
  <c r="K410" i="17" s="1"/>
  <c r="K334" i="17" a="1"/>
  <c r="K334" i="17" s="1"/>
  <c r="K400" i="17" a="1"/>
  <c r="K400" i="17" s="1"/>
  <c r="K391" i="17" a="1"/>
  <c r="K391" i="17" s="1"/>
  <c r="K382" i="17" a="1"/>
  <c r="K382" i="17" s="1"/>
  <c r="K344" i="17" a="1"/>
  <c r="K344" i="17" s="1"/>
  <c r="K438" i="17" a="1"/>
  <c r="K438" i="17" s="1"/>
  <c r="K429" i="17" a="1"/>
  <c r="K429" i="17" s="1"/>
  <c r="K420" i="17" a="1"/>
  <c r="K420" i="17" s="1"/>
  <c r="K353" i="17" a="1"/>
  <c r="K353" i="17" s="1"/>
  <c r="K373" i="17" a="1"/>
  <c r="K373" i="17" s="1"/>
  <c r="K363" i="17" a="1"/>
  <c r="K363" i="17" s="1"/>
  <c r="K411" i="17" a="1"/>
  <c r="K411" i="17" s="1"/>
  <c r="K335" i="17" a="1"/>
  <c r="K335" i="17" s="1"/>
  <c r="K401" i="17" a="1"/>
  <c r="K401" i="17" s="1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C401" i="17"/>
  <c r="B401" i="17"/>
  <c r="A401" i="17"/>
  <c r="C335" i="17"/>
  <c r="B335" i="17"/>
  <c r="A335" i="17"/>
  <c r="C411" i="17"/>
  <c r="B411" i="17"/>
  <c r="A411" i="17"/>
  <c r="C363" i="17"/>
  <c r="B363" i="17"/>
  <c r="A363" i="17"/>
  <c r="C373" i="17"/>
  <c r="B373" i="17"/>
  <c r="A373" i="17"/>
  <c r="C353" i="17"/>
  <c r="B353" i="17"/>
  <c r="A353" i="17"/>
  <c r="C420" i="17"/>
  <c r="B420" i="17"/>
  <c r="A420" i="17"/>
  <c r="C429" i="17"/>
  <c r="B429" i="17"/>
  <c r="A429" i="17"/>
  <c r="C438" i="17"/>
  <c r="B438" i="17"/>
  <c r="A438" i="17"/>
  <c r="C344" i="17"/>
  <c r="B344" i="17"/>
  <c r="A344" i="17"/>
  <c r="C382" i="17"/>
  <c r="B382" i="17"/>
  <c r="A382" i="17"/>
  <c r="C391" i="17"/>
  <c r="B391" i="17"/>
  <c r="A391" i="17"/>
  <c r="C400" i="17"/>
  <c r="B400" i="17"/>
  <c r="A400" i="17"/>
  <c r="C334" i="17"/>
  <c r="B334" i="17"/>
  <c r="A334" i="17"/>
  <c r="C410" i="17"/>
  <c r="B410" i="17"/>
  <c r="A410" i="17"/>
  <c r="C362" i="17"/>
  <c r="B362" i="17"/>
  <c r="A362" i="17"/>
  <c r="C372" i="17"/>
  <c r="B372" i="17"/>
  <c r="A372" i="17"/>
  <c r="C244" i="17"/>
  <c r="B244" i="17"/>
  <c r="A244" i="17"/>
  <c r="C307" i="17"/>
  <c r="B307" i="17"/>
  <c r="A307" i="17"/>
  <c r="C316" i="17"/>
  <c r="B316" i="17"/>
  <c r="A316" i="17"/>
  <c r="C325" i="17"/>
  <c r="B325" i="17"/>
  <c r="A325" i="17"/>
  <c r="C235" i="17"/>
  <c r="B235" i="17"/>
  <c r="A235" i="17"/>
  <c r="C271" i="17"/>
  <c r="B271" i="17"/>
  <c r="A271" i="17"/>
  <c r="C280" i="17"/>
  <c r="B280" i="17"/>
  <c r="A280" i="17"/>
  <c r="C289" i="17"/>
  <c r="B289" i="17"/>
  <c r="A289" i="17"/>
  <c r="C226" i="17"/>
  <c r="B226" i="17"/>
  <c r="A226" i="17"/>
  <c r="C298" i="17"/>
  <c r="B298" i="17"/>
  <c r="A298" i="17"/>
  <c r="C253" i="17"/>
  <c r="B253" i="17"/>
  <c r="A253" i="17"/>
  <c r="C262" i="17"/>
  <c r="B262" i="17"/>
  <c r="A262" i="17"/>
  <c r="C136" i="17"/>
  <c r="B136" i="17"/>
  <c r="A136" i="17"/>
  <c r="C199" i="17"/>
  <c r="B199" i="17"/>
  <c r="A199" i="17"/>
  <c r="C208" i="17"/>
  <c r="B208" i="17"/>
  <c r="A208" i="17"/>
  <c r="C217" i="17"/>
  <c r="B217" i="17"/>
  <c r="A217" i="17"/>
  <c r="C127" i="17"/>
  <c r="B127" i="17"/>
  <c r="A127" i="17"/>
  <c r="C163" i="17"/>
  <c r="B163" i="17"/>
  <c r="A163" i="17"/>
  <c r="C172" i="17"/>
  <c r="B172" i="17"/>
  <c r="A172" i="17"/>
  <c r="C181" i="17"/>
  <c r="B181" i="17"/>
  <c r="A181" i="17"/>
  <c r="C118" i="17"/>
  <c r="B118" i="17"/>
  <c r="A118" i="17"/>
  <c r="C190" i="17"/>
  <c r="B190" i="17"/>
  <c r="A190" i="17"/>
  <c r="C145" i="17"/>
  <c r="B145" i="17"/>
  <c r="A145" i="17"/>
  <c r="C154" i="17"/>
  <c r="B154" i="17"/>
  <c r="A154" i="17"/>
  <c r="C28" i="17"/>
  <c r="B28" i="17"/>
  <c r="A28" i="17"/>
  <c r="C91" i="17"/>
  <c r="B91" i="17"/>
  <c r="A91" i="17"/>
  <c r="C100" i="17"/>
  <c r="B100" i="17"/>
  <c r="A100" i="17"/>
  <c r="C109" i="17"/>
  <c r="B109" i="17"/>
  <c r="A109" i="17"/>
  <c r="C19" i="17"/>
  <c r="B19" i="17"/>
  <c r="A19" i="17"/>
  <c r="C55" i="17"/>
  <c r="B55" i="17"/>
  <c r="A55" i="17"/>
  <c r="C64" i="17"/>
  <c r="B64" i="17"/>
  <c r="A64" i="17"/>
  <c r="C73" i="17"/>
  <c r="B73" i="17"/>
  <c r="A73" i="17"/>
  <c r="C10" i="17"/>
  <c r="B10" i="17"/>
  <c r="A10" i="17"/>
  <c r="C82" i="17"/>
  <c r="B82" i="17"/>
  <c r="A82" i="17"/>
  <c r="C37" i="17"/>
  <c r="B37" i="17"/>
  <c r="A37" i="17"/>
  <c r="C46" i="17"/>
  <c r="B46" i="17"/>
  <c r="A46" i="17"/>
  <c r="C352" i="17"/>
  <c r="B352" i="17"/>
  <c r="A352" i="17"/>
  <c r="C419" i="17"/>
  <c r="B419" i="17"/>
  <c r="A419" i="17"/>
  <c r="C428" i="17"/>
  <c r="B428" i="17"/>
  <c r="A428" i="17"/>
  <c r="C437" i="17"/>
  <c r="B437" i="17"/>
  <c r="A437" i="17"/>
  <c r="C343" i="17"/>
  <c r="B343" i="17"/>
  <c r="A343" i="17"/>
  <c r="C381" i="17"/>
  <c r="B381" i="17"/>
  <c r="A381" i="17"/>
  <c r="C390" i="17"/>
  <c r="B390" i="17"/>
  <c r="A390" i="17"/>
  <c r="C399" i="17"/>
  <c r="B399" i="17"/>
  <c r="A399" i="17"/>
  <c r="C333" i="17"/>
  <c r="B333" i="17"/>
  <c r="A333" i="17"/>
  <c r="C409" i="17"/>
  <c r="B409" i="17"/>
  <c r="A409" i="17"/>
  <c r="C361" i="17"/>
  <c r="B361" i="17"/>
  <c r="A361" i="17"/>
  <c r="C371" i="17"/>
  <c r="B371" i="17"/>
  <c r="A371" i="17"/>
  <c r="C243" i="17"/>
  <c r="B243" i="17"/>
  <c r="A243" i="17"/>
  <c r="C306" i="17"/>
  <c r="B306" i="17"/>
  <c r="A306" i="17"/>
  <c r="C315" i="17"/>
  <c r="B315" i="17"/>
  <c r="A315" i="17"/>
  <c r="C324" i="17"/>
  <c r="B324" i="17"/>
  <c r="A324" i="17"/>
  <c r="C234" i="17"/>
  <c r="B234" i="17"/>
  <c r="A234" i="17"/>
  <c r="C270" i="17"/>
  <c r="B270" i="17"/>
  <c r="A270" i="17"/>
  <c r="C279" i="17"/>
  <c r="B279" i="17"/>
  <c r="A279" i="17"/>
  <c r="C288" i="17"/>
  <c r="B288" i="17"/>
  <c r="A288" i="17"/>
  <c r="C225" i="17"/>
  <c r="B225" i="17"/>
  <c r="A225" i="17"/>
  <c r="C297" i="17"/>
  <c r="B297" i="17"/>
  <c r="A297" i="17"/>
  <c r="C252" i="17"/>
  <c r="B252" i="17"/>
  <c r="A252" i="17"/>
  <c r="C261" i="17"/>
  <c r="B261" i="17"/>
  <c r="A261" i="17"/>
  <c r="C135" i="17"/>
  <c r="B135" i="17"/>
  <c r="A135" i="17"/>
  <c r="C198" i="17"/>
  <c r="B198" i="17"/>
  <c r="A198" i="17"/>
  <c r="C207" i="17"/>
  <c r="B207" i="17"/>
  <c r="A207" i="17"/>
  <c r="C216" i="17"/>
  <c r="B216" i="17"/>
  <c r="A216" i="17"/>
  <c r="C126" i="17"/>
  <c r="B126" i="17"/>
  <c r="A126" i="17"/>
  <c r="C162" i="17"/>
  <c r="B162" i="17"/>
  <c r="A162" i="17"/>
  <c r="C171" i="17"/>
  <c r="B171" i="17"/>
  <c r="A171" i="17"/>
  <c r="C180" i="17"/>
  <c r="B180" i="17"/>
  <c r="A180" i="17"/>
  <c r="C117" i="17"/>
  <c r="B117" i="17"/>
  <c r="A117" i="17"/>
  <c r="C189" i="17"/>
  <c r="B189" i="17"/>
  <c r="A189" i="17"/>
  <c r="C144" i="17"/>
  <c r="B144" i="17"/>
  <c r="A144" i="17"/>
  <c r="C153" i="17"/>
  <c r="B153" i="17"/>
  <c r="A153" i="17"/>
  <c r="C27" i="17"/>
  <c r="B27" i="17"/>
  <c r="A27" i="17"/>
  <c r="C90" i="17"/>
  <c r="B90" i="17"/>
  <c r="A90" i="17"/>
  <c r="C99" i="17"/>
  <c r="B99" i="17"/>
  <c r="A99" i="17"/>
  <c r="C108" i="17"/>
  <c r="B108" i="17"/>
  <c r="A108" i="17"/>
  <c r="C18" i="17"/>
  <c r="B18" i="17"/>
  <c r="A18" i="17"/>
  <c r="C54" i="17"/>
  <c r="B54" i="17"/>
  <c r="A54" i="17"/>
  <c r="C63" i="17"/>
  <c r="B63" i="17"/>
  <c r="A63" i="17"/>
  <c r="C72" i="17"/>
  <c r="B72" i="17"/>
  <c r="A72" i="17"/>
  <c r="C9" i="17"/>
  <c r="B9" i="17"/>
  <c r="A9" i="17"/>
  <c r="C81" i="17"/>
  <c r="B81" i="17"/>
  <c r="A81" i="17"/>
  <c r="C36" i="17"/>
  <c r="B36" i="17"/>
  <c r="A36" i="17"/>
  <c r="C45" i="17"/>
  <c r="B45" i="17"/>
  <c r="A45" i="17"/>
  <c r="C351" i="17"/>
  <c r="B351" i="17"/>
  <c r="A351" i="17"/>
  <c r="C418" i="17"/>
  <c r="B418" i="17"/>
  <c r="A418" i="17"/>
  <c r="C427" i="17"/>
  <c r="B427" i="17"/>
  <c r="A427" i="17"/>
  <c r="C436" i="17"/>
  <c r="B436" i="17"/>
  <c r="A436" i="17"/>
  <c r="C342" i="17"/>
  <c r="B342" i="17"/>
  <c r="A342" i="17"/>
  <c r="C380" i="17"/>
  <c r="B380" i="17"/>
  <c r="A380" i="17"/>
  <c r="C389" i="17"/>
  <c r="B389" i="17"/>
  <c r="A389" i="17"/>
  <c r="C398" i="17"/>
  <c r="B398" i="17"/>
  <c r="A398" i="17"/>
  <c r="C332" i="17"/>
  <c r="B332" i="17"/>
  <c r="A332" i="17"/>
  <c r="C408" i="17"/>
  <c r="B408" i="17"/>
  <c r="A408" i="17"/>
  <c r="C360" i="17"/>
  <c r="B360" i="17"/>
  <c r="A360" i="17"/>
  <c r="C370" i="17"/>
  <c r="B370" i="17"/>
  <c r="A370" i="17"/>
  <c r="C242" i="17"/>
  <c r="B242" i="17"/>
  <c r="A242" i="17"/>
  <c r="C305" i="17"/>
  <c r="B305" i="17"/>
  <c r="A305" i="17"/>
  <c r="C314" i="17"/>
  <c r="B314" i="17"/>
  <c r="A314" i="17"/>
  <c r="C323" i="17"/>
  <c r="B323" i="17"/>
  <c r="A323" i="17"/>
  <c r="C233" i="17"/>
  <c r="B233" i="17"/>
  <c r="A233" i="17"/>
  <c r="C269" i="17"/>
  <c r="B269" i="17"/>
  <c r="A269" i="17"/>
  <c r="C278" i="17"/>
  <c r="B278" i="17"/>
  <c r="A278" i="17"/>
  <c r="C287" i="17"/>
  <c r="B287" i="17"/>
  <c r="A287" i="17"/>
  <c r="C224" i="17"/>
  <c r="B224" i="17"/>
  <c r="A224" i="17"/>
  <c r="C296" i="17"/>
  <c r="B296" i="17"/>
  <c r="A296" i="17"/>
  <c r="C251" i="17"/>
  <c r="B251" i="17"/>
  <c r="A251" i="17"/>
  <c r="C260" i="17"/>
  <c r="B260" i="17"/>
  <c r="A260" i="17"/>
  <c r="C134" i="17"/>
  <c r="B134" i="17"/>
  <c r="A134" i="17"/>
  <c r="C197" i="17"/>
  <c r="B197" i="17"/>
  <c r="A197" i="17"/>
  <c r="C206" i="17"/>
  <c r="B206" i="17"/>
  <c r="A206" i="17"/>
  <c r="C215" i="17"/>
  <c r="B215" i="17"/>
  <c r="A215" i="17"/>
  <c r="C125" i="17"/>
  <c r="B125" i="17"/>
  <c r="A125" i="17"/>
  <c r="C161" i="17"/>
  <c r="B161" i="17"/>
  <c r="A161" i="17"/>
  <c r="C170" i="17"/>
  <c r="B170" i="17"/>
  <c r="A170" i="17"/>
  <c r="C179" i="17"/>
  <c r="B179" i="17"/>
  <c r="A179" i="17"/>
  <c r="C116" i="17"/>
  <c r="B116" i="17"/>
  <c r="A116" i="17"/>
  <c r="C188" i="17"/>
  <c r="B188" i="17"/>
  <c r="A188" i="17"/>
  <c r="C143" i="17"/>
  <c r="B143" i="17"/>
  <c r="A143" i="17"/>
  <c r="C152" i="17"/>
  <c r="B152" i="17"/>
  <c r="A152" i="17"/>
  <c r="C26" i="17"/>
  <c r="B26" i="17"/>
  <c r="A26" i="17"/>
  <c r="C89" i="17"/>
  <c r="B89" i="17"/>
  <c r="A89" i="17"/>
  <c r="C98" i="17"/>
  <c r="B98" i="17"/>
  <c r="A98" i="17"/>
  <c r="C107" i="17"/>
  <c r="B107" i="17"/>
  <c r="A107" i="17"/>
  <c r="C17" i="17"/>
  <c r="B17" i="17"/>
  <c r="A17" i="17"/>
  <c r="C53" i="17"/>
  <c r="B53" i="17"/>
  <c r="A53" i="17"/>
  <c r="C62" i="17"/>
  <c r="B62" i="17"/>
  <c r="A62" i="17"/>
  <c r="C71" i="17"/>
  <c r="B71" i="17"/>
  <c r="A71" i="17"/>
  <c r="C8" i="17"/>
  <c r="B8" i="17"/>
  <c r="A8" i="17"/>
  <c r="C80" i="17"/>
  <c r="B80" i="17"/>
  <c r="A80" i="17"/>
  <c r="C35" i="17"/>
  <c r="B35" i="17"/>
  <c r="A35" i="17"/>
  <c r="C44" i="17"/>
  <c r="B44" i="17"/>
  <c r="A44" i="17"/>
  <c r="C350" i="17"/>
  <c r="B350" i="17"/>
  <c r="A350" i="17"/>
  <c r="C417" i="17"/>
  <c r="B417" i="17"/>
  <c r="A417" i="17"/>
  <c r="C426" i="17"/>
  <c r="B426" i="17"/>
  <c r="A426" i="17"/>
  <c r="C435" i="17"/>
  <c r="B435" i="17"/>
  <c r="A435" i="17"/>
  <c r="C341" i="17"/>
  <c r="B341" i="17"/>
  <c r="A341" i="17"/>
  <c r="C379" i="17"/>
  <c r="B379" i="17"/>
  <c r="A379" i="17"/>
  <c r="C388" i="17"/>
  <c r="B388" i="17"/>
  <c r="A388" i="17"/>
  <c r="C397" i="17"/>
  <c r="B397" i="17"/>
  <c r="A397" i="17"/>
  <c r="C331" i="17"/>
  <c r="B331" i="17"/>
  <c r="A331" i="17"/>
  <c r="C407" i="17"/>
  <c r="B407" i="17"/>
  <c r="A407" i="17"/>
  <c r="C359" i="17"/>
  <c r="B359" i="17"/>
  <c r="A359" i="17"/>
  <c r="C369" i="17"/>
  <c r="B369" i="17"/>
  <c r="A369" i="17"/>
  <c r="C241" i="17"/>
  <c r="B241" i="17"/>
  <c r="A241" i="17"/>
  <c r="C304" i="17"/>
  <c r="B304" i="17"/>
  <c r="A304" i="17"/>
  <c r="C313" i="17"/>
  <c r="B313" i="17"/>
  <c r="A313" i="17"/>
  <c r="C322" i="17"/>
  <c r="B322" i="17"/>
  <c r="A322" i="17"/>
  <c r="C232" i="17"/>
  <c r="B232" i="17"/>
  <c r="A232" i="17"/>
  <c r="C268" i="17"/>
  <c r="B268" i="17"/>
  <c r="A268" i="17"/>
  <c r="C277" i="17"/>
  <c r="B277" i="17"/>
  <c r="A277" i="17"/>
  <c r="C286" i="17"/>
  <c r="B286" i="17"/>
  <c r="A286" i="17"/>
  <c r="C223" i="17"/>
  <c r="B223" i="17"/>
  <c r="A223" i="17"/>
  <c r="C295" i="17"/>
  <c r="B295" i="17"/>
  <c r="A295" i="17"/>
  <c r="C250" i="17"/>
  <c r="B250" i="17"/>
  <c r="A250" i="17"/>
  <c r="C259" i="17"/>
  <c r="B259" i="17"/>
  <c r="A259" i="17"/>
  <c r="C133" i="17"/>
  <c r="B133" i="17"/>
  <c r="A133" i="17"/>
  <c r="C196" i="17"/>
  <c r="B196" i="17"/>
  <c r="A196" i="17"/>
  <c r="C205" i="17"/>
  <c r="B205" i="17"/>
  <c r="A205" i="17"/>
  <c r="C214" i="17"/>
  <c r="B214" i="17"/>
  <c r="A214" i="17"/>
  <c r="C124" i="17"/>
  <c r="B124" i="17"/>
  <c r="A124" i="17"/>
  <c r="C160" i="17"/>
  <c r="B160" i="17"/>
  <c r="A160" i="17"/>
  <c r="C169" i="17"/>
  <c r="B169" i="17"/>
  <c r="A169" i="17"/>
  <c r="C178" i="17"/>
  <c r="B178" i="17"/>
  <c r="A178" i="17"/>
  <c r="C115" i="17"/>
  <c r="B115" i="17"/>
  <c r="A115" i="17"/>
  <c r="C187" i="17"/>
  <c r="B187" i="17"/>
  <c r="A187" i="17"/>
  <c r="C142" i="17"/>
  <c r="B142" i="17"/>
  <c r="A142" i="17"/>
  <c r="C151" i="17"/>
  <c r="B151" i="17"/>
  <c r="A151" i="17"/>
  <c r="C25" i="17"/>
  <c r="B25" i="17"/>
  <c r="A25" i="17"/>
  <c r="C88" i="17"/>
  <c r="B88" i="17"/>
  <c r="A88" i="17"/>
  <c r="C97" i="17"/>
  <c r="B97" i="17"/>
  <c r="A97" i="17"/>
  <c r="C106" i="17"/>
  <c r="B106" i="17"/>
  <c r="A106" i="17"/>
  <c r="C16" i="17"/>
  <c r="B16" i="17"/>
  <c r="A16" i="17"/>
  <c r="C52" i="17"/>
  <c r="B52" i="17"/>
  <c r="A52" i="17"/>
  <c r="C61" i="17"/>
  <c r="B61" i="17"/>
  <c r="A61" i="17"/>
  <c r="C70" i="17"/>
  <c r="B70" i="17"/>
  <c r="A70" i="17"/>
  <c r="C7" i="17"/>
  <c r="B7" i="17"/>
  <c r="A7" i="17"/>
  <c r="C79" i="17"/>
  <c r="B79" i="17"/>
  <c r="A79" i="17"/>
  <c r="C34" i="17"/>
  <c r="B34" i="17"/>
  <c r="A34" i="17"/>
  <c r="C43" i="17"/>
  <c r="B43" i="17"/>
  <c r="A43" i="17"/>
  <c r="A42" i="17"/>
  <c r="B42" i="17"/>
  <c r="C42" i="17"/>
  <c r="A33" i="17"/>
  <c r="B33" i="17"/>
  <c r="C33" i="17"/>
  <c r="A78" i="17"/>
  <c r="B78" i="17"/>
  <c r="C78" i="17"/>
  <c r="A6" i="17"/>
  <c r="B6" i="17"/>
  <c r="C6" i="17"/>
  <c r="A69" i="17"/>
  <c r="B69" i="17"/>
  <c r="C69" i="17"/>
  <c r="A60" i="17"/>
  <c r="B60" i="17"/>
  <c r="C60" i="17"/>
  <c r="A51" i="17"/>
  <c r="B51" i="17"/>
  <c r="C51" i="17"/>
  <c r="A15" i="17"/>
  <c r="B15" i="17"/>
  <c r="C15" i="17"/>
  <c r="A105" i="17"/>
  <c r="B105" i="17"/>
  <c r="C105" i="17"/>
  <c r="A96" i="17"/>
  <c r="B96" i="17"/>
  <c r="C96" i="17"/>
  <c r="A87" i="17"/>
  <c r="B87" i="17"/>
  <c r="C87" i="17"/>
  <c r="A24" i="17"/>
  <c r="B24" i="17"/>
  <c r="C24" i="17"/>
  <c r="A150" i="17"/>
  <c r="B150" i="17"/>
  <c r="C150" i="17"/>
  <c r="A141" i="17"/>
  <c r="B141" i="17"/>
  <c r="C141" i="17"/>
  <c r="A186" i="17"/>
  <c r="B186" i="17"/>
  <c r="C186" i="17"/>
  <c r="A114" i="17"/>
  <c r="B114" i="17"/>
  <c r="C114" i="17"/>
  <c r="A177" i="17"/>
  <c r="B177" i="17"/>
  <c r="C177" i="17"/>
  <c r="A168" i="17"/>
  <c r="B168" i="17"/>
  <c r="C168" i="17"/>
  <c r="A159" i="17"/>
  <c r="B159" i="17"/>
  <c r="C159" i="17"/>
  <c r="A123" i="17"/>
  <c r="B123" i="17"/>
  <c r="C123" i="17"/>
  <c r="A213" i="17"/>
  <c r="B213" i="17"/>
  <c r="C213" i="17"/>
  <c r="A204" i="17"/>
  <c r="B204" i="17"/>
  <c r="C204" i="17"/>
  <c r="A195" i="17"/>
  <c r="B195" i="17"/>
  <c r="C195" i="17"/>
  <c r="A132" i="17"/>
  <c r="B132" i="17"/>
  <c r="C132" i="17"/>
  <c r="A258" i="17"/>
  <c r="B258" i="17"/>
  <c r="C258" i="17"/>
  <c r="A249" i="17"/>
  <c r="B249" i="17"/>
  <c r="C249" i="17"/>
  <c r="A294" i="17"/>
  <c r="B294" i="17"/>
  <c r="C294" i="17"/>
  <c r="A222" i="17"/>
  <c r="B222" i="17"/>
  <c r="C222" i="17"/>
  <c r="A285" i="17"/>
  <c r="B285" i="17"/>
  <c r="C285" i="17"/>
  <c r="A276" i="17"/>
  <c r="B276" i="17"/>
  <c r="C276" i="17"/>
  <c r="A267" i="17"/>
  <c r="B267" i="17"/>
  <c r="C267" i="17"/>
  <c r="A231" i="17"/>
  <c r="B231" i="17"/>
  <c r="C231" i="17"/>
  <c r="A321" i="17"/>
  <c r="B321" i="17"/>
  <c r="C321" i="17"/>
  <c r="A312" i="17"/>
  <c r="B312" i="17"/>
  <c r="C312" i="17"/>
  <c r="A303" i="17"/>
  <c r="B303" i="17"/>
  <c r="C303" i="17"/>
  <c r="A240" i="17"/>
  <c r="B240" i="17"/>
  <c r="C240" i="17"/>
  <c r="A368" i="17"/>
  <c r="B368" i="17"/>
  <c r="C368" i="17"/>
  <c r="A358" i="17"/>
  <c r="B358" i="17"/>
  <c r="C358" i="17"/>
  <c r="A406" i="17"/>
  <c r="B406" i="17"/>
  <c r="C406" i="17"/>
  <c r="A330" i="17"/>
  <c r="B330" i="17"/>
  <c r="C330" i="17"/>
  <c r="A396" i="17"/>
  <c r="B396" i="17"/>
  <c r="C396" i="17"/>
  <c r="A387" i="17"/>
  <c r="B387" i="17"/>
  <c r="C387" i="17"/>
  <c r="A378" i="17"/>
  <c r="B378" i="17"/>
  <c r="C378" i="17"/>
  <c r="A340" i="17"/>
  <c r="B340" i="17"/>
  <c r="C340" i="17"/>
  <c r="A434" i="17"/>
  <c r="B434" i="17"/>
  <c r="C434" i="17"/>
  <c r="A425" i="17"/>
  <c r="B425" i="17"/>
  <c r="C425" i="17"/>
  <c r="A416" i="17"/>
  <c r="B416" i="17"/>
  <c r="C416" i="17"/>
  <c r="A349" i="17"/>
  <c r="B349" i="17"/>
  <c r="C349" i="17"/>
  <c r="C348" i="17"/>
  <c r="B348" i="17"/>
  <c r="A348" i="17"/>
  <c r="C415" i="17"/>
  <c r="B415" i="17"/>
  <c r="A415" i="17"/>
  <c r="C424" i="17"/>
  <c r="B424" i="17"/>
  <c r="A424" i="17"/>
  <c r="C433" i="17"/>
  <c r="B433" i="17"/>
  <c r="A433" i="17"/>
  <c r="C339" i="17"/>
  <c r="B339" i="17"/>
  <c r="A339" i="17"/>
  <c r="C377" i="17"/>
  <c r="B377" i="17"/>
  <c r="A377" i="17"/>
  <c r="C386" i="17"/>
  <c r="B386" i="17"/>
  <c r="A386" i="17"/>
  <c r="C395" i="17"/>
  <c r="B395" i="17"/>
  <c r="A395" i="17"/>
  <c r="C329" i="17"/>
  <c r="B329" i="17"/>
  <c r="A329" i="17"/>
  <c r="C405" i="17"/>
  <c r="B405" i="17"/>
  <c r="A405" i="17"/>
  <c r="C357" i="17"/>
  <c r="B357" i="17"/>
  <c r="A357" i="17"/>
  <c r="C367" i="17"/>
  <c r="B367" i="17"/>
  <c r="A367" i="17"/>
  <c r="C239" i="17"/>
  <c r="B239" i="17"/>
  <c r="A239" i="17"/>
  <c r="C302" i="17"/>
  <c r="B302" i="17"/>
  <c r="A302" i="17"/>
  <c r="C311" i="17"/>
  <c r="B311" i="17"/>
  <c r="A311" i="17"/>
  <c r="C320" i="17"/>
  <c r="B320" i="17"/>
  <c r="A320" i="17"/>
  <c r="C230" i="17"/>
  <c r="B230" i="17"/>
  <c r="A230" i="17"/>
  <c r="C266" i="17"/>
  <c r="B266" i="17"/>
  <c r="A266" i="17"/>
  <c r="C275" i="17"/>
  <c r="B275" i="17"/>
  <c r="A275" i="17"/>
  <c r="C284" i="17"/>
  <c r="B284" i="17"/>
  <c r="A284" i="17"/>
  <c r="C221" i="17"/>
  <c r="B221" i="17"/>
  <c r="A221" i="17"/>
  <c r="C293" i="17"/>
  <c r="B293" i="17"/>
  <c r="A293" i="17"/>
  <c r="C248" i="17"/>
  <c r="B248" i="17"/>
  <c r="A248" i="17"/>
  <c r="C257" i="17"/>
  <c r="B257" i="17"/>
  <c r="A257" i="17"/>
  <c r="C131" i="17"/>
  <c r="B131" i="17"/>
  <c r="A131" i="17"/>
  <c r="C194" i="17"/>
  <c r="B194" i="17"/>
  <c r="A194" i="17"/>
  <c r="C203" i="17"/>
  <c r="B203" i="17"/>
  <c r="A203" i="17"/>
  <c r="C212" i="17"/>
  <c r="B212" i="17"/>
  <c r="A212" i="17"/>
  <c r="C122" i="17"/>
  <c r="B122" i="17"/>
  <c r="A122" i="17"/>
  <c r="C158" i="17"/>
  <c r="B158" i="17"/>
  <c r="A158" i="17"/>
  <c r="C167" i="17"/>
  <c r="B167" i="17"/>
  <c r="A167" i="17"/>
  <c r="C176" i="17"/>
  <c r="B176" i="17"/>
  <c r="A176" i="17"/>
  <c r="C113" i="17"/>
  <c r="B113" i="17"/>
  <c r="A113" i="17"/>
  <c r="C185" i="17"/>
  <c r="B185" i="17"/>
  <c r="A185" i="17"/>
  <c r="C140" i="17"/>
  <c r="B140" i="17"/>
  <c r="A140" i="17"/>
  <c r="C149" i="17"/>
  <c r="B149" i="17"/>
  <c r="A149" i="17"/>
  <c r="C23" i="17"/>
  <c r="B23" i="17"/>
  <c r="A23" i="17"/>
  <c r="C86" i="17"/>
  <c r="B86" i="17"/>
  <c r="A86" i="17"/>
  <c r="C95" i="17"/>
  <c r="B95" i="17"/>
  <c r="A95" i="17"/>
  <c r="C104" i="17"/>
  <c r="B104" i="17"/>
  <c r="A104" i="17"/>
  <c r="C14" i="17"/>
  <c r="B14" i="17"/>
  <c r="A14" i="17"/>
  <c r="C50" i="17"/>
  <c r="B50" i="17"/>
  <c r="A50" i="17"/>
  <c r="C59" i="17"/>
  <c r="B59" i="17"/>
  <c r="A59" i="17"/>
  <c r="C68" i="17"/>
  <c r="B68" i="17"/>
  <c r="A68" i="17"/>
  <c r="C5" i="17"/>
  <c r="B5" i="17"/>
  <c r="A5" i="17"/>
  <c r="C77" i="17"/>
  <c r="B77" i="17"/>
  <c r="A77" i="17"/>
  <c r="C32" i="17"/>
  <c r="B32" i="17"/>
  <c r="A32" i="17"/>
  <c r="C41" i="17"/>
  <c r="B41" i="17"/>
  <c r="A41" i="17"/>
  <c r="A146" i="17"/>
  <c r="A20" i="17"/>
  <c r="A83" i="17"/>
  <c r="A92" i="17"/>
  <c r="A101" i="17"/>
  <c r="A11" i="17"/>
  <c r="A47" i="17"/>
  <c r="A56" i="17"/>
  <c r="A65" i="17"/>
  <c r="A2" i="17"/>
  <c r="A74" i="17"/>
  <c r="A29" i="17"/>
  <c r="A38" i="17"/>
  <c r="A347" i="17"/>
  <c r="A414" i="17"/>
  <c r="A423" i="17"/>
  <c r="A432" i="17"/>
  <c r="A338" i="17"/>
  <c r="A376" i="17"/>
  <c r="A31" i="17"/>
  <c r="A40" i="17"/>
  <c r="A346" i="17"/>
  <c r="A413" i="17"/>
  <c r="A422" i="17"/>
  <c r="A431" i="17"/>
  <c r="A337" i="17"/>
  <c r="A375" i="17"/>
  <c r="C347" i="17"/>
  <c r="B347" i="17"/>
  <c r="C414" i="17"/>
  <c r="B414" i="17"/>
  <c r="C423" i="17"/>
  <c r="B423" i="17"/>
  <c r="C432" i="17"/>
  <c r="B432" i="17"/>
  <c r="C338" i="17"/>
  <c r="B338" i="17"/>
  <c r="C376" i="17"/>
  <c r="B376" i="17"/>
  <c r="C385" i="17"/>
  <c r="B385" i="17"/>
  <c r="A385" i="17"/>
  <c r="C394" i="17"/>
  <c r="B394" i="17"/>
  <c r="A394" i="17"/>
  <c r="C328" i="17"/>
  <c r="B328" i="17"/>
  <c r="A328" i="17"/>
  <c r="C404" i="17"/>
  <c r="B404" i="17"/>
  <c r="A404" i="17"/>
  <c r="C356" i="17"/>
  <c r="B356" i="17"/>
  <c r="A356" i="17"/>
  <c r="C366" i="17"/>
  <c r="B366" i="17"/>
  <c r="A366" i="17"/>
  <c r="C238" i="17"/>
  <c r="B238" i="17"/>
  <c r="A238" i="17"/>
  <c r="C301" i="17"/>
  <c r="B301" i="17"/>
  <c r="A301" i="17"/>
  <c r="C310" i="17"/>
  <c r="B310" i="17"/>
  <c r="A310" i="17"/>
  <c r="C319" i="17"/>
  <c r="B319" i="17"/>
  <c r="A319" i="17"/>
  <c r="C229" i="17"/>
  <c r="B229" i="17"/>
  <c r="A229" i="17"/>
  <c r="C265" i="17"/>
  <c r="B265" i="17"/>
  <c r="A265" i="17"/>
  <c r="C274" i="17"/>
  <c r="B274" i="17"/>
  <c r="A274" i="17"/>
  <c r="C283" i="17"/>
  <c r="B283" i="17"/>
  <c r="A283" i="17"/>
  <c r="C220" i="17"/>
  <c r="B220" i="17"/>
  <c r="A220" i="17"/>
  <c r="C292" i="17"/>
  <c r="B292" i="17"/>
  <c r="A292" i="17"/>
  <c r="C247" i="17"/>
  <c r="B247" i="17"/>
  <c r="A247" i="17"/>
  <c r="C256" i="17"/>
  <c r="B256" i="17"/>
  <c r="A256" i="17"/>
  <c r="C130" i="17"/>
  <c r="B130" i="17"/>
  <c r="A130" i="17"/>
  <c r="C193" i="17"/>
  <c r="B193" i="17"/>
  <c r="A193" i="17"/>
  <c r="C202" i="17"/>
  <c r="B202" i="17"/>
  <c r="A202" i="17"/>
  <c r="C211" i="17"/>
  <c r="B211" i="17"/>
  <c r="A211" i="17"/>
  <c r="C121" i="17"/>
  <c r="B121" i="17"/>
  <c r="A121" i="17"/>
  <c r="C157" i="17"/>
  <c r="B157" i="17"/>
  <c r="A157" i="17"/>
  <c r="C166" i="17"/>
  <c r="B166" i="17"/>
  <c r="A166" i="17"/>
  <c r="C175" i="17"/>
  <c r="B175" i="17"/>
  <c r="A175" i="17"/>
  <c r="C112" i="17"/>
  <c r="B112" i="17"/>
  <c r="A112" i="17"/>
  <c r="C184" i="17"/>
  <c r="B184" i="17"/>
  <c r="A184" i="17"/>
  <c r="C139" i="17"/>
  <c r="B139" i="17"/>
  <c r="A139" i="17"/>
  <c r="C148" i="17"/>
  <c r="B148" i="17"/>
  <c r="A148" i="17"/>
  <c r="C22" i="17"/>
  <c r="B22" i="17"/>
  <c r="A22" i="17"/>
  <c r="C85" i="17"/>
  <c r="B85" i="17"/>
  <c r="A85" i="17"/>
  <c r="C94" i="17"/>
  <c r="B94" i="17"/>
  <c r="A94" i="17"/>
  <c r="C103" i="17"/>
  <c r="B103" i="17"/>
  <c r="A103" i="17"/>
  <c r="C13" i="17"/>
  <c r="B13" i="17"/>
  <c r="A13" i="17"/>
  <c r="C49" i="17"/>
  <c r="B49" i="17"/>
  <c r="A49" i="17"/>
  <c r="C58" i="17"/>
  <c r="B58" i="17"/>
  <c r="A58" i="17"/>
  <c r="C67" i="17"/>
  <c r="B67" i="17"/>
  <c r="A67" i="17"/>
  <c r="C4" i="17"/>
  <c r="B4" i="17"/>
  <c r="A4" i="17"/>
  <c r="C76" i="17"/>
  <c r="B76" i="17"/>
  <c r="A76" i="17"/>
  <c r="C31" i="17"/>
  <c r="B31" i="17"/>
  <c r="C40" i="17"/>
  <c r="B40" i="17"/>
  <c r="B38" i="17"/>
  <c r="B29" i="17"/>
  <c r="B74" i="17"/>
  <c r="C38" i="17"/>
  <c r="C29" i="17"/>
  <c r="C74" i="17"/>
  <c r="B2" i="17"/>
  <c r="B47" i="17"/>
  <c r="B11" i="17"/>
  <c r="B101" i="17"/>
  <c r="B92" i="17"/>
  <c r="B375" i="17"/>
  <c r="C2" i="17"/>
  <c r="C47" i="17"/>
  <c r="C11" i="17"/>
  <c r="C101" i="17"/>
  <c r="C92" i="17"/>
  <c r="C375" i="17"/>
  <c r="B337" i="17"/>
  <c r="B431" i="17"/>
  <c r="B422" i="17"/>
  <c r="B413" i="17"/>
  <c r="B346" i="17"/>
  <c r="C337" i="17"/>
  <c r="C431" i="17"/>
  <c r="C422" i="17"/>
  <c r="C413" i="17"/>
  <c r="C346" i="17"/>
  <c r="A365" i="17"/>
  <c r="A355" i="17"/>
  <c r="A403" i="17"/>
  <c r="A327" i="17"/>
  <c r="A393" i="17"/>
  <c r="A384" i="17"/>
  <c r="B365" i="17"/>
  <c r="B355" i="17"/>
  <c r="B403" i="17"/>
  <c r="B327" i="17"/>
  <c r="B393" i="17"/>
  <c r="B384" i="17"/>
  <c r="C365" i="17"/>
  <c r="C355" i="17"/>
  <c r="C403" i="17"/>
  <c r="C327" i="17"/>
  <c r="C393" i="17"/>
  <c r="C384" i="17"/>
  <c r="A309" i="17"/>
  <c r="A300" i="17"/>
  <c r="A237" i="17"/>
  <c r="B309" i="17"/>
  <c r="B300" i="17"/>
  <c r="B237" i="17"/>
  <c r="C309" i="17"/>
  <c r="C300" i="17"/>
  <c r="C237" i="17"/>
  <c r="A228" i="17"/>
  <c r="A318" i="17"/>
  <c r="B228" i="17"/>
  <c r="B318" i="17"/>
  <c r="C228" i="17"/>
  <c r="C318" i="17"/>
  <c r="A264" i="17"/>
  <c r="B264" i="17"/>
  <c r="C264" i="17"/>
  <c r="A326" i="17"/>
  <c r="A392" i="17"/>
  <c r="A383" i="17"/>
  <c r="B326" i="17"/>
  <c r="B392" i="17"/>
  <c r="B383" i="17"/>
  <c r="C326" i="17"/>
  <c r="C392" i="17"/>
  <c r="C383" i="17"/>
  <c r="A430" i="17"/>
  <c r="A421" i="17"/>
  <c r="A412" i="17"/>
  <c r="A345" i="17"/>
  <c r="B430" i="17"/>
  <c r="B421" i="17"/>
  <c r="B412" i="17"/>
  <c r="B345" i="17"/>
  <c r="C430" i="17"/>
  <c r="C421" i="17"/>
  <c r="C412" i="17"/>
  <c r="C345" i="17"/>
  <c r="A374" i="17"/>
  <c r="A336" i="17"/>
  <c r="B374" i="17"/>
  <c r="B336" i="17"/>
  <c r="C374" i="17"/>
  <c r="C336" i="17"/>
  <c r="A402" i="17"/>
  <c r="B402" i="17"/>
  <c r="C402" i="17"/>
  <c r="A354" i="17"/>
  <c r="B354" i="17"/>
  <c r="C354" i="17"/>
  <c r="B364" i="17"/>
  <c r="A364" i="17"/>
  <c r="C364" i="17"/>
  <c r="A273" i="17"/>
  <c r="B273" i="17"/>
  <c r="C273" i="17"/>
  <c r="H15" i="18"/>
  <c r="H13" i="18"/>
  <c r="H12" i="18"/>
  <c r="I11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C236" i="17"/>
  <c r="C282" i="17"/>
  <c r="C299" i="17"/>
  <c r="C219" i="17"/>
  <c r="C308" i="17"/>
  <c r="C291" i="17"/>
  <c r="C317" i="17"/>
  <c r="C246" i="17"/>
  <c r="C227" i="17"/>
  <c r="C255" i="17"/>
  <c r="C263" i="17"/>
  <c r="C129" i="17"/>
  <c r="C272" i="17"/>
  <c r="C192" i="17"/>
  <c r="C281" i="17"/>
  <c r="C201" i="17"/>
  <c r="C218" i="17"/>
  <c r="C210" i="17"/>
  <c r="C290" i="17"/>
  <c r="C120" i="17"/>
  <c r="C245" i="17"/>
  <c r="C156" i="17"/>
  <c r="C254" i="17"/>
  <c r="C165" i="17"/>
  <c r="C128" i="17"/>
  <c r="C174" i="17"/>
  <c r="C191" i="17"/>
  <c r="C111" i="17"/>
  <c r="C200" i="17"/>
  <c r="C183" i="17"/>
  <c r="C209" i="17"/>
  <c r="C138" i="17"/>
  <c r="C119" i="17"/>
  <c r="C147" i="17"/>
  <c r="C155" i="17"/>
  <c r="C21" i="17"/>
  <c r="C164" i="17"/>
  <c r="C84" i="17"/>
  <c r="C173" i="17"/>
  <c r="C93" i="17"/>
  <c r="C110" i="17"/>
  <c r="C102" i="17"/>
  <c r="C182" i="17"/>
  <c r="C12" i="17"/>
  <c r="C137" i="17"/>
  <c r="C48" i="17"/>
  <c r="C57" i="17"/>
  <c r="C146" i="17"/>
  <c r="C66" i="17"/>
  <c r="C20" i="17"/>
  <c r="C3" i="17"/>
  <c r="C83" i="17"/>
  <c r="C75" i="17"/>
  <c r="C56" i="17"/>
  <c r="C30" i="17"/>
  <c r="C65" i="17"/>
  <c r="C39" i="17"/>
  <c r="A236" i="17"/>
  <c r="A282" i="17"/>
  <c r="A299" i="17"/>
  <c r="A219" i="17"/>
  <c r="A308" i="17"/>
  <c r="A291" i="17"/>
  <c r="A317" i="17"/>
  <c r="A246" i="17"/>
  <c r="A227" i="17"/>
  <c r="A255" i="17"/>
  <c r="A263" i="17"/>
  <c r="A129" i="17"/>
  <c r="A272" i="17"/>
  <c r="A192" i="17"/>
  <c r="A281" i="17"/>
  <c r="A201" i="17"/>
  <c r="A218" i="17"/>
  <c r="A210" i="17"/>
  <c r="A290" i="17"/>
  <c r="A120" i="17"/>
  <c r="A245" i="17"/>
  <c r="A156" i="17"/>
  <c r="A254" i="17"/>
  <c r="A165" i="17"/>
  <c r="A128" i="17"/>
  <c r="A174" i="17"/>
  <c r="A191" i="17"/>
  <c r="A111" i="17"/>
  <c r="A200" i="17"/>
  <c r="A183" i="17"/>
  <c r="A209" i="17"/>
  <c r="A138" i="17"/>
  <c r="A119" i="17"/>
  <c r="A147" i="17"/>
  <c r="A155" i="17"/>
  <c r="A21" i="17"/>
  <c r="A164" i="17"/>
  <c r="A84" i="17"/>
  <c r="A173" i="17"/>
  <c r="A93" i="17"/>
  <c r="A110" i="17"/>
  <c r="A102" i="17"/>
  <c r="A182" i="17"/>
  <c r="A12" i="17"/>
  <c r="A137" i="17"/>
  <c r="A48" i="17"/>
  <c r="A57" i="17"/>
  <c r="A66" i="17"/>
  <c r="A3" i="17"/>
  <c r="A75" i="17"/>
  <c r="A30" i="17"/>
  <c r="A39" i="17"/>
  <c r="B236" i="17"/>
  <c r="B282" i="17"/>
  <c r="B299" i="17"/>
  <c r="B219" i="17"/>
  <c r="B308" i="17"/>
  <c r="B291" i="17"/>
  <c r="B317" i="17"/>
  <c r="I8" i="18"/>
  <c r="J8" i="18" s="1"/>
  <c r="L8" i="18" s="1"/>
  <c r="B246" i="17"/>
  <c r="B227" i="17"/>
  <c r="B255" i="17"/>
  <c r="B263" i="17"/>
  <c r="B129" i="17"/>
  <c r="B272" i="17"/>
  <c r="B192" i="17"/>
  <c r="B281" i="17"/>
  <c r="B201" i="17"/>
  <c r="B218" i="17"/>
  <c r="B210" i="17"/>
  <c r="B290" i="17"/>
  <c r="B120" i="17"/>
  <c r="B245" i="17"/>
  <c r="B156" i="17"/>
  <c r="B254" i="17"/>
  <c r="B165" i="17"/>
  <c r="B128" i="17"/>
  <c r="B174" i="17"/>
  <c r="B191" i="17"/>
  <c r="B111" i="17"/>
  <c r="B200" i="17"/>
  <c r="B183" i="17"/>
  <c r="B209" i="17"/>
  <c r="B138" i="17"/>
  <c r="B119" i="17"/>
  <c r="B147" i="17"/>
  <c r="B155" i="17"/>
  <c r="B21" i="17"/>
  <c r="B164" i="17"/>
  <c r="B84" i="17"/>
  <c r="B173" i="17"/>
  <c r="B93" i="17"/>
  <c r="B110" i="17"/>
  <c r="B102" i="17"/>
  <c r="B182" i="17"/>
  <c r="B12" i="17"/>
  <c r="B137" i="17"/>
  <c r="B48" i="17"/>
  <c r="B57" i="17"/>
  <c r="B146" i="17"/>
  <c r="B66" i="17"/>
  <c r="B20" i="17"/>
  <c r="B3" i="17"/>
  <c r="B83" i="17"/>
  <c r="B75" i="17"/>
  <c r="B56" i="17"/>
  <c r="B30" i="17"/>
  <c r="B65" i="17"/>
  <c r="B39" i="17"/>
  <c r="I16" i="18"/>
  <c r="I12" i="18"/>
  <c r="J12" i="18" s="1"/>
  <c r="L12" i="18" s="1"/>
  <c r="I10" i="18"/>
  <c r="J10" i="18" s="1"/>
  <c r="L10" i="18" s="1"/>
  <c r="I6" i="18"/>
  <c r="J6" i="18" s="1"/>
  <c r="L6" i="18" s="1"/>
  <c r="I9" i="18"/>
  <c r="J9" i="18" s="1"/>
  <c r="L9" i="18" s="1"/>
  <c r="I7" i="18"/>
  <c r="I5" i="18"/>
  <c r="I4" i="18"/>
  <c r="J4" i="18" s="1"/>
  <c r="L4" i="18" s="1"/>
  <c r="I3" i="18"/>
  <c r="J3" i="18" s="1"/>
  <c r="L3" i="18" s="1"/>
  <c r="H16" i="18"/>
  <c r="H10" i="18"/>
  <c r="H8" i="18"/>
  <c r="H6" i="18"/>
  <c r="H7" i="18"/>
  <c r="H5" i="18"/>
  <c r="H4" i="18"/>
  <c r="H3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B3" i="18"/>
  <c r="A3" i="18"/>
  <c r="D1" i="18"/>
  <c r="F5" i="18"/>
  <c r="F4" i="18"/>
  <c r="F6" i="18"/>
  <c r="F7" i="18"/>
  <c r="F9" i="18"/>
  <c r="F11" i="18"/>
  <c r="F14" i="18"/>
  <c r="F15" i="18"/>
  <c r="F16" i="18"/>
  <c r="F3" i="18"/>
  <c r="F8" i="18"/>
  <c r="F12" i="18"/>
  <c r="F10" i="18"/>
  <c r="F13" i="18"/>
  <c r="J11" i="18" l="1"/>
  <c r="L11" i="18" s="1"/>
  <c r="J7" i="18"/>
  <c r="L7" i="18" s="1"/>
  <c r="J5" i="18"/>
  <c r="L5" i="18" s="1"/>
  <c r="H9" i="18"/>
  <c r="K9" i="18" s="1"/>
  <c r="H14" i="18"/>
  <c r="H11" i="18"/>
  <c r="K11" i="18" s="1"/>
  <c r="I13" i="18"/>
  <c r="J13" i="18" s="1"/>
  <c r="L13" i="18" s="1"/>
  <c r="I14" i="18"/>
  <c r="J14" i="18" s="1"/>
  <c r="L14" i="18" s="1"/>
  <c r="I15" i="18"/>
  <c r="J15" i="18" s="1"/>
  <c r="L15" i="18" s="1"/>
  <c r="K8" i="18"/>
  <c r="K10" i="18"/>
  <c r="K12" i="18"/>
  <c r="K3" i="18"/>
  <c r="K6" i="18"/>
  <c r="K4" i="18"/>
  <c r="K5" i="18"/>
  <c r="K7" i="18"/>
  <c r="K16" i="18"/>
  <c r="J16" i="18"/>
  <c r="L16" i="18" s="1"/>
  <c r="K13" i="18" l="1"/>
  <c r="K15" i="18"/>
  <c r="K14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<sst xmlns="http://schemas.openxmlformats.org/spreadsheetml/2006/main" count="1795" uniqueCount="53">
  <si>
    <t>Ano</t>
  </si>
  <si>
    <t>Mês</t>
  </si>
  <si>
    <t>Dia</t>
  </si>
  <si>
    <t>Vencimento</t>
  </si>
  <si>
    <t>Data Pagamento</t>
  </si>
  <si>
    <t>Despesas Totais</t>
  </si>
  <si>
    <t>Contas</t>
  </si>
  <si>
    <t>Categoria</t>
  </si>
  <si>
    <t>Tipo de Gasto</t>
  </si>
  <si>
    <t>Status</t>
  </si>
  <si>
    <t>Luz</t>
  </si>
  <si>
    <t>Moradia</t>
  </si>
  <si>
    <t>Fixo</t>
  </si>
  <si>
    <t>Pago</t>
  </si>
  <si>
    <t>Financiamento</t>
  </si>
  <si>
    <t>Variável</t>
  </si>
  <si>
    <t>Plano Cel. (Douglas)</t>
  </si>
  <si>
    <t>Plano Cel. (Joyce)</t>
  </si>
  <si>
    <t>Cartão Nubank</t>
  </si>
  <si>
    <t>TV Box</t>
  </si>
  <si>
    <t>Internet</t>
  </si>
  <si>
    <t>Água</t>
  </si>
  <si>
    <t>IPVA</t>
  </si>
  <si>
    <t>Não Pago</t>
  </si>
  <si>
    <t>Data</t>
  </si>
  <si>
    <t>Período das Despesas</t>
  </si>
  <si>
    <t>Salário</t>
  </si>
  <si>
    <t>Despesas Provisionadas</t>
  </si>
  <si>
    <t>Caixa</t>
  </si>
  <si>
    <t>Despesas em Aberto</t>
  </si>
  <si>
    <t>Desvio Caixa (%)</t>
  </si>
  <si>
    <t>Alta</t>
  </si>
  <si>
    <t>SIM</t>
  </si>
  <si>
    <t>Média</t>
  </si>
  <si>
    <t>NÃO</t>
  </si>
  <si>
    <t>Baixa</t>
  </si>
  <si>
    <t>mensalidade</t>
  </si>
  <si>
    <t>uniforme</t>
  </si>
  <si>
    <t>Empréstimo - Vó</t>
  </si>
  <si>
    <t>Licenciamento</t>
  </si>
  <si>
    <t>Status do Pagamento</t>
  </si>
  <si>
    <t>Pagamento</t>
  </si>
  <si>
    <t>Cartão de Crédito</t>
  </si>
  <si>
    <t>Banho Cachorro</t>
  </si>
  <si>
    <t>Pet</t>
  </si>
  <si>
    <t>Aluguel</t>
  </si>
  <si>
    <t>Creche</t>
  </si>
  <si>
    <t>Educação</t>
  </si>
  <si>
    <t>Financiamento Carro</t>
  </si>
  <si>
    <t>Automóvel</t>
  </si>
  <si>
    <t>Cartão Santander</t>
  </si>
  <si>
    <t>Compras Online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</si>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</sst>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" fontId="0" fillId="0" borderId="0" xfId="0" applyNumberFormat="1"/>
    <xf numFmtId="14" fontId="0" fillId="3" borderId="1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right"/>
    </xf>
    <xf numFmtId="164" fontId="0" fillId="0" borderId="0" xfId="0" applyNumberFormat="1"/>
    <xf numFmtId="0" fontId="4" fillId="4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4" fontId="0" fillId="0" borderId="4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0" borderId="4" xfId="0" applyNumberFormat="1" applyFill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0" xfId="0" applyFont="1"/>
    <xf numFmtId="0" fontId="0" fillId="0" borderId="9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14" fontId="0" fillId="0" borderId="8" xfId="0" applyNumberFormat="1" applyFont="1" applyFill="1" applyBorder="1" applyAlignment="1">
      <alignment horizontal="center"/>
    </xf>
    <xf numFmtId="164" fontId="0" fillId="0" borderId="8" xfId="0" applyNumberFormat="1" applyFont="1" applyFill="1" applyBorder="1" applyAlignment="1">
      <alignment horizontal="center"/>
    </xf>
    <xf numFmtId="164" fontId="0" fillId="0" borderId="10" xfId="0" applyNumberFormat="1" applyFont="1" applyFill="1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164" fontId="0" fillId="0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/>
    </xf>
    <xf numFmtId="164" fontId="0" fillId="0" borderId="3" xfId="0" applyNumberFormat="1" applyFont="1" applyFill="1" applyBorder="1" applyAlignment="1">
      <alignment horizontal="center"/>
    </xf>
    <xf numFmtId="14" fontId="0" fillId="0" borderId="5" xfId="0" applyNumberFormat="1" applyFont="1" applyFill="1" applyBorder="1" applyAlignment="1">
      <alignment horizontal="center"/>
    </xf>
    <xf numFmtId="164" fontId="0" fillId="0" borderId="7" xfId="0" applyNumberFormat="1" applyFont="1" applyFill="1" applyBorder="1" applyAlignment="1">
      <alignment horizontal="center"/>
    </xf>
    <xf numFmtId="0" fontId="0" fillId="0" borderId="7" xfId="0" applyNumberForma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78">
    <dxf>
      <fill>
        <patternFill>
          <bgColor rgb="FFFF0000"/>
        </patternFill>
      </fill>
    </dxf>
    <dxf>
      <fill>
        <patternFill>
          <bgColor rgb="FF00B050"/>
        </patternFill>
      </fill>
    </dxf>
    <dxf>
      <numFmt numFmtId="14" formatCode="0.00%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right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right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right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right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right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right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right"/>
    </dxf>
    <dxf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Estilo de Segmentação de Dados 1" pivot="0" table="0" count="0" xr9:uid="{9F90DD27-7BC4-414D-80C6-66B88589D743}"/>
    <tableStyle name="SlicerStyleLight2 2" pivot="0" table="0" count="10" xr9:uid="{8034ECBE-66F0-48B5-A853-D1182272612B}">
      <tableStyleElement type="wholeTable" dxfId="77"/>
      <tableStyleElement type="headerRow" dxfId="76"/>
    </tableStyle>
    <tableStyle name="SlicerStyleLight4 2" pivot="0" table="0" count="10" xr9:uid="{A40C24D2-6889-41EB-8AFE-AF1E2F3E711B}">
      <tableStyleElement type="wholeTable" dxfId="75"/>
      <tableStyleElement type="headerRow" dxfId="74"/>
    </tableStyle>
  </tableStyles>
  <colors>
    <mruColors>
      <color rgb="FFC6EFCE"/>
      <color rgb="FFFFC7CE"/>
      <color rgb="FF368253"/>
      <color rgb="FF3B383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4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yce Gonçalves" id="{7765F06C-0D73-4F81-8BD8-7920FDF469FF}" userId="1166a5079542f58c" providerId="Windows Live"/>
  <person displayName="Francisco Douglas Santos Gonçalves" id="{FBACAFAF-C78B-4384-8AEA-6892F6497DFE}" userId="franciscodouglassantos@gmail.com" providerId="PeoplePicker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E546DE-461A-47E4-9545-29A245FEEEA3}" name="Tabela135" displayName="Tabela135" ref="A1:K438" totalsRowShown="0" headerRowDxfId="39" dataDxfId="38">
  <autoFilter ref="A1:K438" xr:uid="{0BE546DE-461A-47E4-9545-29A245FEEEA3}"/>
  <sortState xmlns:xlrd2="http://schemas.microsoft.com/office/spreadsheetml/2017/richdata2" ref="A2:K438">
    <sortCondition ref="A1:A438"/>
  </sortState>
  <tableColumns count="11">
    <tableColumn id="1" xr3:uid="{C73F6F16-2F5F-44E5-BEF2-5A2B61C5A5E4}" name="Ano" dataDxfId="37">
      <calculatedColumnFormula>YEAR(Tabela135[[#This Row],[Vencimento]])</calculatedColumnFormula>
    </tableColumn>
    <tableColumn id="8" xr3:uid="{40EE2518-AFAC-44E9-A84F-4D555837FE77}" name="Mês" dataDxfId="36">
      <calculatedColumnFormula>TEXT(D2,"mmmm")</calculatedColumnFormula>
    </tableColumn>
    <tableColumn id="10" xr3:uid="{77A90D22-1C45-4B69-A3C2-3A1D35F11C39}" name="Dia" dataDxfId="35">
      <calculatedColumnFormula>DAY(Tabela135[[#This Row],[Vencimento]])</calculatedColumnFormula>
    </tableColumn>
    <tableColumn id="2" xr3:uid="{8C5B5B98-E73A-4F77-B2A9-B316A1644AA1}" name="Vencimento" dataDxfId="34"/>
    <tableColumn id="11" xr3:uid="{C046CFA3-ED8F-4074-B9C3-F50B06983BEC}" name="Data Pagamento" dataDxfId="33"/>
    <tableColumn id="3" xr3:uid="{5B880A4F-FC1C-440E-A21F-72BFE811D7EA}" name="Despesas Totais" dataDxfId="32"/>
    <tableColumn id="4" xr3:uid="{6D884B47-A22D-44E2-9546-4E53711655BF}" name="Contas" dataDxfId="31"/>
    <tableColumn id="5" xr3:uid="{95DDBE86-851E-469C-8132-74C71A5593CD}" name="Categoria" dataDxfId="30"/>
    <tableColumn id="6" xr3:uid="{273BB6CD-375C-46B8-8A04-D969F40C9326}" name="Tipo de Gasto" dataDxfId="29"/>
    <tableColumn id="7" xr3:uid="{4A864C72-E49A-4FFC-B892-20B8CA8E2216}" name="Pagamento" dataDxfId="28"/>
    <tableColumn id="9" xr3:uid="{A3219869-BB25-4C60-AA52-EFCD3697CF22}" name="Status do Pagamento" dataDxfId="27">
      <calculatedColumnFormula array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1270C5-D84B-42B0-B3F0-79997D88D61F}" name="Tabela36" displayName="Tabela36" ref="D2:L16" totalsRowShown="0" headerRowDxfId="19">
  <autoFilter ref="D2:L16" xr:uid="{384623BD-AD17-48F3-8EC6-9FD281C046FA}"/>
  <tableColumns count="9">
    <tableColumn id="1" xr3:uid="{17FF98C9-02CF-41E2-A66C-BFD252DDE155}" name="Mês" dataDxfId="18" totalsRowDxfId="17">
      <calculatedColumnFormula>TEXT(E3,"mmmm")</calculatedColumnFormula>
    </tableColumn>
    <tableColumn id="9" xr3:uid="{84CEB874-8F37-4548-A939-D39F89B0A7AC}" name="Data" dataDxfId="16" totalsRowDxfId="15"/>
    <tableColumn id="8" xr3:uid="{B6AF84F9-D52D-4062-974A-2F0A1E3102E2}" name="Período das Despesas" dataDxfId="14" totalsRowDxfId="13"/>
    <tableColumn id="2" xr3:uid="{E85CD3F8-1861-44E3-9455-9B35A83CB082}" name="Salário" dataDxfId="12" totalsRowDxfId="11"/>
    <tableColumn id="3" xr3:uid="{2D37BB04-95CF-4B2C-9E15-E1B9C7DBD7BF}" name="Despesas Totais" dataDxfId="10">
      <calculatedColumnFormula>-SUMIFS('Despesas Detalhe'!$F:$F,'Despesas Detalhe'!$D:$D,"&gt;"&amp;$E1,'Despesas Detalhe'!$D:$D,"&lt;"&amp;$E3)</calculatedColumnFormula>
    </tableColumn>
    <tableColumn id="4" xr3:uid="{0D0A7279-DCC0-48D8-95A1-4FA31D64EE26}" name="Despesas Provisionadas" dataDxfId="9" totalsRowDxfId="8">
      <calculatedColumnFormula>-SUMIF(#REF!,E3,#REF!)</calculatedColumnFormula>
    </tableColumn>
    <tableColumn id="5" xr3:uid="{A06F7315-4459-4D23-90E7-99A8EE34E9B8}" name="Caixa" dataDxfId="7" totalsRowDxfId="6">
      <calculatedColumnFormula>G3+I3</calculatedColumnFormula>
    </tableColumn>
    <tableColumn id="7" xr3:uid="{B8518AB6-B516-45A7-BCA1-9EDF6C30FE4E}" name="Despesas em Aberto" dataDxfId="5" totalsRowDxfId="4">
      <calculatedColumnFormula>IF((ABS(H3)+I3)&lt;=0,"",ABS(H3)+I3)</calculatedColumnFormula>
    </tableColumn>
    <tableColumn id="6" xr3:uid="{9EAAD8D4-A822-42C8-B39A-58F3AEA69705}" name="Desvio Caixa (%)" dataDxfId="3" totalsRowDxfId="2">
      <calculatedColumnFormula>J3/G3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08" dT="2025-11-17T12:45:04.95" personId="{7765F06C-0D73-4F81-8BD8-7920FDF469FF}" id="{35F9B742-BF85-4D19-9726-13B1F54A28E4}">
    <text xml:space="preserve">urgente @Francisco Douglas Santos Gonçalves </text>
    <mentions>
      <mention mentionpersonId="{FBACAFAF-C78B-4384-8AEA-6892F6497DFE}" mentionId="{BDDF6D5F-A5D5-483E-A70E-F934C5BFDA03}" startIndex="8" length="35"/>
    </mentions>
  </threadedComment>
  <threadedComment ref="F613" dT="2025-11-17T12:44:53.03" personId="{7765F06C-0D73-4F81-8BD8-7920FDF469FF}" id="{853C4C9A-8FA1-48D6-966A-A1C462C6330B}">
    <text>urgente</text>
  </threadedComment>
  <threadedComment ref="F621" dT="2025-11-17T12:49:04.22" personId="{7765F06C-0D73-4F81-8BD8-7920FDF469FF}" id="{36B9E101-C2E3-4A23-9690-D7798AA2B64A}">
    <text>Sogro e seguro</text>
  </threadedComment>
  <threadedComment ref="F629" dT="2025-12-12T12:36:43.57" personId="{7765F06C-0D73-4F81-8BD8-7920FDF469FF}" id="{92DF5FE2-CDB2-4F8A-B4A3-CE58E6280C39}">
    <text xml:space="preserve">Pagando tudo isso com o meu salário R$3500 + 2200 do seu pagamrnto + 2000 do seu vale, vamos precisar colocar mais 1221 de cada décimo e/ou bônus. Sendo assim sobra em torno de 1900 do seu decimo e 3200 do meu bonus. @Francisco Douglas Santos Gonçalves </text>
    <mentions>
      <mention mentionpersonId="{FBACAFAF-C78B-4384-8AEA-6892F6497DFE}" mentionId="{939480C8-4222-45A5-B3A8-4CA6A960BEE6}" startIndex="217" length="35"/>
    </mentions>
  </threadedComment>
  <threadedComment ref="F684" dT="2026-03-04T20:04:14.76" personId="{7765F06C-0D73-4F81-8BD8-7920FDF469FF}" id="{354BB398-6DD0-4CA2-8FF5-BF12642D810D}">
    <text xml:space="preserve">Paguei 570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89BB-8F99-4AC2-BDAC-B146B453848E}">
  <dimension ref="A1:O438"/>
  <sheetViews>
    <sheetView tabSelected="1" zoomScale="70" zoomScaleNormal="70" workbookViewId="0">
      <selection activeCell="C2" sqref="C2"/>
    </sheetView>
  </sheetViews>
  <sheetFormatPr defaultRowHeight="14.5" x14ac:dyDescent="0.35"/>
  <cols>
    <col min="1" max="1" width="11.26953125" bestFit="1" customWidth="1"/>
    <col min="2" max="2" width="11.6328125" customWidth="1"/>
    <col min="3" max="3" width="10.6328125" bestFit="1" customWidth="1"/>
    <col min="4" max="4" width="18.90625" bestFit="1" customWidth="1"/>
    <col min="5" max="5" width="23.08984375" bestFit="1" customWidth="1"/>
    <col min="6" max="6" width="22.54296875" bestFit="1" customWidth="1"/>
    <col min="7" max="7" width="19.6328125" bestFit="1" customWidth="1"/>
    <col min="8" max="8" width="16.36328125" bestFit="1" customWidth="1"/>
    <col min="9" max="9" width="20.36328125" bestFit="1" customWidth="1"/>
    <col min="10" max="10" width="18" bestFit="1" customWidth="1"/>
    <col min="11" max="11" width="31.36328125" customWidth="1"/>
    <col min="13" max="13" width="9.1796875" bestFit="1" customWidth="1"/>
    <col min="15" max="15" width="9.1796875" bestFit="1" customWidth="1"/>
  </cols>
  <sheetData>
    <row r="1" spans="1:11" ht="15.5" x14ac:dyDescent="0.35">
      <c r="A1" s="6" t="s">
        <v>0</v>
      </c>
      <c r="B1" s="6" t="s">
        <v>1</v>
      </c>
      <c r="C1" s="6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41</v>
      </c>
      <c r="K1" s="6" t="s">
        <v>40</v>
      </c>
    </row>
    <row r="2" spans="1:11" s="29" customFormat="1" x14ac:dyDescent="0.35">
      <c r="A2" s="32">
        <f>YEAR(Tabela135[[#This Row],[Vencimento]])</f>
        <v>2023</v>
      </c>
      <c r="B2" s="27" t="str">
        <f>TEXT(D2,"mmmm")</f>
        <v>abril</v>
      </c>
      <c r="C2" s="27">
        <f>DAY(Tabela135[[#This Row],[Vencimento]])</f>
        <v>5</v>
      </c>
      <c r="D2" s="24">
        <v>45021</v>
      </c>
      <c r="E2" s="24">
        <v>45021</v>
      </c>
      <c r="F2" s="21">
        <v>150</v>
      </c>
      <c r="G2" s="21" t="s">
        <v>21</v>
      </c>
      <c r="H2" s="28" t="s">
        <v>11</v>
      </c>
      <c r="I2" s="28" t="s">
        <v>12</v>
      </c>
      <c r="J2" s="28" t="s">
        <v>13</v>
      </c>
      <c r="K2" s="30" t="str" cm="1">
        <f t="array" aca="1" ref="K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" spans="1:11" s="29" customFormat="1" x14ac:dyDescent="0.35">
      <c r="A3" s="19">
        <f>YEAR(Tabela135[[#This Row],[Vencimento]])</f>
        <v>2023</v>
      </c>
      <c r="B3" s="20" t="str">
        <f>TEXT(D3,"mmmm")</f>
        <v>abril</v>
      </c>
      <c r="C3" s="20">
        <f>DAY(Tabela135[[#This Row],[Vencimento]])</f>
        <v>5</v>
      </c>
      <c r="D3" s="24">
        <v>45021</v>
      </c>
      <c r="E3" s="24">
        <v>45021</v>
      </c>
      <c r="F3" s="21">
        <v>350</v>
      </c>
      <c r="G3" s="28" t="s">
        <v>10</v>
      </c>
      <c r="H3" s="28" t="s">
        <v>11</v>
      </c>
      <c r="I3" s="28" t="s">
        <v>12</v>
      </c>
      <c r="J3" s="28" t="s">
        <v>13</v>
      </c>
      <c r="K3" s="28" t="str" cm="1">
        <f t="array" aca="1" ref="K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" spans="1:11" s="29" customFormat="1" x14ac:dyDescent="0.35">
      <c r="A4" s="22">
        <f>YEAR(Tabela135[[#This Row],[Vencimento]])</f>
        <v>2023</v>
      </c>
      <c r="B4" s="23" t="str">
        <f>TEXT(D4,"mmmm")</f>
        <v>abril</v>
      </c>
      <c r="C4" s="23">
        <f>DAY(Tabela135[[#This Row],[Vencimento]])</f>
        <v>20</v>
      </c>
      <c r="D4" s="24">
        <v>45036</v>
      </c>
      <c r="E4" s="24">
        <v>45036</v>
      </c>
      <c r="F4" s="21">
        <v>100</v>
      </c>
      <c r="G4" s="21" t="s">
        <v>20</v>
      </c>
      <c r="H4" s="28" t="s">
        <v>11</v>
      </c>
      <c r="I4" s="28" t="s">
        <v>12</v>
      </c>
      <c r="J4" s="28" t="s">
        <v>13</v>
      </c>
      <c r="K4" s="27" t="str" cm="1">
        <f t="array" aca="1" ref="K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5" spans="1:11" x14ac:dyDescent="0.35">
      <c r="A5" s="22">
        <f>YEAR(Tabela135[[#This Row],[Vencimento]])</f>
        <v>2023</v>
      </c>
      <c r="B5" s="23" t="str">
        <f>TEXT(D5,"mmmm")</f>
        <v>abril</v>
      </c>
      <c r="C5" s="23">
        <f>DAY(Tabela135[[#This Row],[Vencimento]])</f>
        <v>20</v>
      </c>
      <c r="D5" s="24">
        <v>45036</v>
      </c>
      <c r="E5" s="24">
        <v>45036</v>
      </c>
      <c r="F5" s="21">
        <v>802</v>
      </c>
      <c r="G5" s="21" t="s">
        <v>18</v>
      </c>
      <c r="H5" s="28" t="s">
        <v>42</v>
      </c>
      <c r="I5" s="28" t="s">
        <v>15</v>
      </c>
      <c r="J5" s="28" t="s">
        <v>13</v>
      </c>
      <c r="K5" s="27" t="str" cm="1">
        <f t="array" aca="1" ref="K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6" spans="1:11" x14ac:dyDescent="0.35">
      <c r="A6" s="22">
        <f>YEAR(Tabela135[[#This Row],[Vencimento]])</f>
        <v>2023</v>
      </c>
      <c r="B6" s="23" t="str">
        <f>TEXT(D6,"mmmm")</f>
        <v>abril</v>
      </c>
      <c r="C6" s="23">
        <f>DAY(Tabela135[[#This Row],[Vencimento]])</f>
        <v>20</v>
      </c>
      <c r="D6" s="24">
        <v>45036</v>
      </c>
      <c r="E6" s="24">
        <v>45036</v>
      </c>
      <c r="F6" s="21">
        <v>100</v>
      </c>
      <c r="G6" s="21" t="s">
        <v>43</v>
      </c>
      <c r="H6" s="28" t="s">
        <v>44</v>
      </c>
      <c r="I6" s="28" t="s">
        <v>12</v>
      </c>
      <c r="J6" s="28" t="s">
        <v>13</v>
      </c>
      <c r="K6" s="27" t="str" cm="1">
        <f t="array" aca="1" ref="K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7" spans="1:11" x14ac:dyDescent="0.35">
      <c r="A7" s="22">
        <f>YEAR(Tabela135[[#This Row],[Vencimento]])</f>
        <v>2023</v>
      </c>
      <c r="B7" s="23" t="str">
        <f>TEXT(D7,"mmmm")</f>
        <v>abril</v>
      </c>
      <c r="C7" s="23">
        <f>DAY(Tabela135[[#This Row],[Vencimento]])</f>
        <v>5</v>
      </c>
      <c r="D7" s="24">
        <v>45021</v>
      </c>
      <c r="E7" s="24">
        <v>45021</v>
      </c>
      <c r="F7" s="21">
        <v>2500</v>
      </c>
      <c r="G7" s="21" t="s">
        <v>45</v>
      </c>
      <c r="H7" s="28" t="s">
        <v>11</v>
      </c>
      <c r="I7" s="28" t="s">
        <v>12</v>
      </c>
      <c r="J7" s="28" t="s">
        <v>13</v>
      </c>
      <c r="K7" s="27" t="str" cm="1">
        <f t="array" aca="1" ref="K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8" spans="1:11" x14ac:dyDescent="0.35">
      <c r="A8" s="22">
        <f>YEAR(Tabela135[[#This Row],[Vencimento]])</f>
        <v>2023</v>
      </c>
      <c r="B8" s="23" t="str">
        <f>TEXT(D8,"mmmm")</f>
        <v>abril</v>
      </c>
      <c r="C8" s="23">
        <f>DAY(Tabela135[[#This Row],[Vencimento]])</f>
        <v>20</v>
      </c>
      <c r="D8" s="24">
        <v>45036</v>
      </c>
      <c r="E8" s="24">
        <v>45036</v>
      </c>
      <c r="F8" s="21">
        <v>800</v>
      </c>
      <c r="G8" s="21" t="s">
        <v>46</v>
      </c>
      <c r="H8" s="28" t="s">
        <v>47</v>
      </c>
      <c r="I8" s="28" t="s">
        <v>12</v>
      </c>
      <c r="J8" s="28" t="s">
        <v>13</v>
      </c>
      <c r="K8" s="27" t="str" cm="1">
        <f t="array" aca="1" ref="K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" spans="1:11" x14ac:dyDescent="0.35">
      <c r="A9" s="22">
        <f>YEAR(Tabela135[[#This Row],[Vencimento]])</f>
        <v>2023</v>
      </c>
      <c r="B9" s="23" t="str">
        <f>TEXT(D9,"mmmm")</f>
        <v>abril</v>
      </c>
      <c r="C9" s="23">
        <f>DAY(Tabela135[[#This Row],[Vencimento]])</f>
        <v>20</v>
      </c>
      <c r="D9" s="24">
        <v>45036</v>
      </c>
      <c r="E9" s="24">
        <v>45036</v>
      </c>
      <c r="F9" s="21">
        <v>1000</v>
      </c>
      <c r="G9" s="21" t="s">
        <v>48</v>
      </c>
      <c r="H9" s="28" t="s">
        <v>49</v>
      </c>
      <c r="I9" s="28" t="s">
        <v>12</v>
      </c>
      <c r="J9" s="28" t="s">
        <v>13</v>
      </c>
      <c r="K9" s="27" t="str" cm="1">
        <f t="array" aca="1" ref="K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" spans="1:11" x14ac:dyDescent="0.35">
      <c r="A10" s="22">
        <f>YEAR(Tabela135[[#This Row],[Vencimento]])</f>
        <v>2023</v>
      </c>
      <c r="B10" s="23" t="str">
        <f>TEXT(D10,"mmmm")</f>
        <v>abril</v>
      </c>
      <c r="C10" s="23">
        <f>DAY(Tabela135[[#This Row],[Vencimento]])</f>
        <v>20</v>
      </c>
      <c r="D10" s="24">
        <v>45036</v>
      </c>
      <c r="E10" s="24">
        <v>45036</v>
      </c>
      <c r="F10" s="21">
        <v>133</v>
      </c>
      <c r="G10" s="21" t="s">
        <v>50</v>
      </c>
      <c r="H10" s="28" t="s">
        <v>42</v>
      </c>
      <c r="I10" s="28" t="s">
        <v>15</v>
      </c>
      <c r="J10" s="28" t="s">
        <v>13</v>
      </c>
      <c r="K10" s="27" t="str" cm="1">
        <f t="array" aca="1" ref="K1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" spans="1:11" x14ac:dyDescent="0.35">
      <c r="A11" s="32">
        <f>YEAR(Tabela135[[#This Row],[Vencimento]])</f>
        <v>2023</v>
      </c>
      <c r="B11" s="27" t="str">
        <f>TEXT(D11,"mmmm")</f>
        <v>agosto</v>
      </c>
      <c r="C11" s="27">
        <f>DAY(Tabela135[[#This Row],[Vencimento]])</f>
        <v>5</v>
      </c>
      <c r="D11" s="24">
        <v>45143</v>
      </c>
      <c r="E11" s="24">
        <v>45143</v>
      </c>
      <c r="F11" s="21">
        <v>150</v>
      </c>
      <c r="G11" s="21" t="s">
        <v>21</v>
      </c>
      <c r="H11" s="28" t="s">
        <v>11</v>
      </c>
      <c r="I11" s="28" t="s">
        <v>12</v>
      </c>
      <c r="J11" s="28" t="s">
        <v>13</v>
      </c>
      <c r="K11" s="28" t="str" cm="1">
        <f t="array" aca="1" ref="K1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" spans="1:11" x14ac:dyDescent="0.35">
      <c r="A12" s="19">
        <f>YEAR(Tabela135[[#This Row],[Vencimento]])</f>
        <v>2023</v>
      </c>
      <c r="B12" s="20" t="str">
        <f>TEXT(D12,"mmmm")</f>
        <v>agosto</v>
      </c>
      <c r="C12" s="20">
        <f>DAY(Tabela135[[#This Row],[Vencimento]])</f>
        <v>5</v>
      </c>
      <c r="D12" s="24">
        <v>45143</v>
      </c>
      <c r="E12" s="24">
        <v>45143</v>
      </c>
      <c r="F12" s="21">
        <v>350</v>
      </c>
      <c r="G12" s="21" t="s">
        <v>10</v>
      </c>
      <c r="H12" s="28" t="s">
        <v>11</v>
      </c>
      <c r="I12" s="28" t="s">
        <v>12</v>
      </c>
      <c r="J12" s="28" t="s">
        <v>13</v>
      </c>
      <c r="K12" s="28" t="str" cm="1">
        <f t="array" aca="1" ref="K1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3" spans="1:11" x14ac:dyDescent="0.35">
      <c r="A13" s="22">
        <f>YEAR(Tabela135[[#This Row],[Vencimento]])</f>
        <v>2023</v>
      </c>
      <c r="B13" s="23" t="str">
        <f>TEXT(D13,"mmmm")</f>
        <v>agosto</v>
      </c>
      <c r="C13" s="23">
        <f>DAY(Tabela135[[#This Row],[Vencimento]])</f>
        <v>20</v>
      </c>
      <c r="D13" s="24">
        <v>45158</v>
      </c>
      <c r="E13" s="24">
        <v>45160</v>
      </c>
      <c r="F13" s="21">
        <v>100</v>
      </c>
      <c r="G13" s="21" t="s">
        <v>20</v>
      </c>
      <c r="H13" s="28" t="s">
        <v>11</v>
      </c>
      <c r="I13" s="28" t="s">
        <v>12</v>
      </c>
      <c r="J13" s="28" t="s">
        <v>13</v>
      </c>
      <c r="K13" s="27" t="str" cm="1">
        <f t="array" aca="1" ref="K1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4" spans="1:11" x14ac:dyDescent="0.35">
      <c r="A14" s="22">
        <f>YEAR(Tabela135[[#This Row],[Vencimento]])</f>
        <v>2023</v>
      </c>
      <c r="B14" s="23" t="str">
        <f>TEXT(D14,"mmmm")</f>
        <v>agosto</v>
      </c>
      <c r="C14" s="23">
        <f>DAY(Tabela135[[#This Row],[Vencimento]])</f>
        <v>20</v>
      </c>
      <c r="D14" s="24">
        <v>45158</v>
      </c>
      <c r="E14" s="24">
        <v>45160</v>
      </c>
      <c r="F14" s="21">
        <v>2111</v>
      </c>
      <c r="G14" s="21" t="s">
        <v>18</v>
      </c>
      <c r="H14" s="28" t="s">
        <v>42</v>
      </c>
      <c r="I14" s="28" t="s">
        <v>15</v>
      </c>
      <c r="J14" s="28" t="s">
        <v>13</v>
      </c>
      <c r="K14" s="27" t="str" cm="1">
        <f t="array" aca="1" ref="K1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5" spans="1:11" x14ac:dyDescent="0.35">
      <c r="A15" s="22">
        <f>YEAR(Tabela135[[#This Row],[Vencimento]])</f>
        <v>2023</v>
      </c>
      <c r="B15" s="23" t="str">
        <f>TEXT(D15,"mmmm")</f>
        <v>agosto</v>
      </c>
      <c r="C15" s="23">
        <f>DAY(Tabela135[[#This Row],[Vencimento]])</f>
        <v>20</v>
      </c>
      <c r="D15" s="24">
        <v>45158</v>
      </c>
      <c r="E15" s="24">
        <v>45160</v>
      </c>
      <c r="F15" s="21">
        <v>100</v>
      </c>
      <c r="G15" s="21" t="s">
        <v>43</v>
      </c>
      <c r="H15" s="28" t="s">
        <v>44</v>
      </c>
      <c r="I15" s="28" t="s">
        <v>12</v>
      </c>
      <c r="J15" s="28" t="s">
        <v>13</v>
      </c>
      <c r="K15" s="27" t="str" cm="1">
        <f t="array" aca="1" ref="K1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6" spans="1:11" x14ac:dyDescent="0.35">
      <c r="A16" s="22">
        <f>YEAR(Tabela135[[#This Row],[Vencimento]])</f>
        <v>2023</v>
      </c>
      <c r="B16" s="23" t="str">
        <f>TEXT(D16,"mmmm")</f>
        <v>agosto</v>
      </c>
      <c r="C16" s="23">
        <f>DAY(Tabela135[[#This Row],[Vencimento]])</f>
        <v>5</v>
      </c>
      <c r="D16" s="24">
        <v>45143</v>
      </c>
      <c r="E16" s="24">
        <v>45143</v>
      </c>
      <c r="F16" s="21">
        <v>2500</v>
      </c>
      <c r="G16" s="21" t="s">
        <v>45</v>
      </c>
      <c r="H16" s="28" t="s">
        <v>11</v>
      </c>
      <c r="I16" s="28" t="s">
        <v>12</v>
      </c>
      <c r="J16" s="28" t="s">
        <v>13</v>
      </c>
      <c r="K16" s="27" t="str" cm="1">
        <f t="array" aca="1" ref="K1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" spans="1:11" x14ac:dyDescent="0.35">
      <c r="A17" s="22">
        <f>YEAR(Tabela135[[#This Row],[Vencimento]])</f>
        <v>2023</v>
      </c>
      <c r="B17" s="23" t="str">
        <f>TEXT(D17,"mmmm")</f>
        <v>agosto</v>
      </c>
      <c r="C17" s="23">
        <f>DAY(Tabela135[[#This Row],[Vencimento]])</f>
        <v>20</v>
      </c>
      <c r="D17" s="24">
        <v>45158</v>
      </c>
      <c r="E17" s="24">
        <v>45160</v>
      </c>
      <c r="F17" s="21">
        <v>800</v>
      </c>
      <c r="G17" s="21" t="s">
        <v>46</v>
      </c>
      <c r="H17" s="28" t="s">
        <v>47</v>
      </c>
      <c r="I17" s="28" t="s">
        <v>12</v>
      </c>
      <c r="J17" s="28" t="s">
        <v>13</v>
      </c>
      <c r="K17" s="27" t="str" cm="1">
        <f t="array" aca="1" ref="K1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8" spans="1:11" x14ac:dyDescent="0.35">
      <c r="A18" s="22">
        <f>YEAR(Tabela135[[#This Row],[Vencimento]])</f>
        <v>2023</v>
      </c>
      <c r="B18" s="23" t="str">
        <f>TEXT(D18,"mmmm")</f>
        <v>agosto</v>
      </c>
      <c r="C18" s="23">
        <f>DAY(Tabela135[[#This Row],[Vencimento]])</f>
        <v>20</v>
      </c>
      <c r="D18" s="24">
        <v>45158</v>
      </c>
      <c r="E18" s="24">
        <v>45160</v>
      </c>
      <c r="F18" s="21">
        <v>1000</v>
      </c>
      <c r="G18" s="21" t="s">
        <v>48</v>
      </c>
      <c r="H18" s="28" t="s">
        <v>49</v>
      </c>
      <c r="I18" s="28" t="s">
        <v>12</v>
      </c>
      <c r="J18" s="28" t="s">
        <v>13</v>
      </c>
      <c r="K18" s="27" t="str" cm="1">
        <f t="array" aca="1" ref="K1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9" spans="1:11" x14ac:dyDescent="0.35">
      <c r="A19" s="22">
        <f>YEAR(Tabela135[[#This Row],[Vencimento]])</f>
        <v>2023</v>
      </c>
      <c r="B19" s="23" t="str">
        <f>TEXT(D19,"mmmm")</f>
        <v>agosto</v>
      </c>
      <c r="C19" s="23">
        <f>DAY(Tabela135[[#This Row],[Vencimento]])</f>
        <v>20</v>
      </c>
      <c r="D19" s="24">
        <v>45158</v>
      </c>
      <c r="E19" s="24">
        <v>45160</v>
      </c>
      <c r="F19" s="21">
        <v>423</v>
      </c>
      <c r="G19" s="21" t="s">
        <v>50</v>
      </c>
      <c r="H19" s="28" t="s">
        <v>42</v>
      </c>
      <c r="I19" s="28" t="s">
        <v>15</v>
      </c>
      <c r="J19" s="28" t="s">
        <v>13</v>
      </c>
      <c r="K19" s="27" t="str" cm="1">
        <f t="array" aca="1" ref="K1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0" spans="1:11" x14ac:dyDescent="0.35">
      <c r="A20" s="32">
        <f>YEAR(Tabela135[[#This Row],[Vencimento]])</f>
        <v>2023</v>
      </c>
      <c r="B20" s="28" t="str">
        <f>TEXT(D20,"mmmm")</f>
        <v>dezembro</v>
      </c>
      <c r="C20" s="28">
        <f>DAY(Tabela135[[#This Row],[Vencimento]])</f>
        <v>5</v>
      </c>
      <c r="D20" s="24">
        <v>45265</v>
      </c>
      <c r="E20" s="24">
        <v>45265</v>
      </c>
      <c r="F20" s="21">
        <v>150</v>
      </c>
      <c r="G20" s="21" t="s">
        <v>21</v>
      </c>
      <c r="H20" s="28" t="s">
        <v>11</v>
      </c>
      <c r="I20" s="28" t="s">
        <v>12</v>
      </c>
      <c r="J20" s="28" t="s">
        <v>13</v>
      </c>
      <c r="K20" s="28" t="str" cm="1">
        <f t="array" aca="1" ref="K2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1" spans="1:11" x14ac:dyDescent="0.35">
      <c r="A21" s="19">
        <f>YEAR(Tabela135[[#This Row],[Vencimento]])</f>
        <v>2023</v>
      </c>
      <c r="B21" s="20" t="str">
        <f>TEXT(D21,"mmmm")</f>
        <v>dezembro</v>
      </c>
      <c r="C21" s="20">
        <f>DAY(Tabela135[[#This Row],[Vencimento]])</f>
        <v>5</v>
      </c>
      <c r="D21" s="24">
        <v>45265</v>
      </c>
      <c r="E21" s="24">
        <v>45265</v>
      </c>
      <c r="F21" s="21">
        <v>350</v>
      </c>
      <c r="G21" s="21" t="s">
        <v>10</v>
      </c>
      <c r="H21" s="28" t="s">
        <v>11</v>
      </c>
      <c r="I21" s="28" t="s">
        <v>12</v>
      </c>
      <c r="J21" s="28" t="s">
        <v>13</v>
      </c>
      <c r="K21" s="28" t="str" cm="1">
        <f t="array" aca="1" ref="K2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" spans="1:11" x14ac:dyDescent="0.35">
      <c r="A22" s="22">
        <f>YEAR(Tabela135[[#This Row],[Vencimento]])</f>
        <v>2023</v>
      </c>
      <c r="B22" s="23" t="str">
        <f>TEXT(D22,"mmmm")</f>
        <v>dezembro</v>
      </c>
      <c r="C22" s="23">
        <f>DAY(Tabela135[[#This Row],[Vencimento]])</f>
        <v>20</v>
      </c>
      <c r="D22" s="24">
        <v>45280</v>
      </c>
      <c r="E22" s="24">
        <v>45280</v>
      </c>
      <c r="F22" s="21">
        <v>100</v>
      </c>
      <c r="G22" s="21" t="s">
        <v>20</v>
      </c>
      <c r="H22" s="28" t="s">
        <v>11</v>
      </c>
      <c r="I22" s="28" t="s">
        <v>12</v>
      </c>
      <c r="J22" s="28" t="s">
        <v>13</v>
      </c>
      <c r="K22" s="27" t="str" cm="1">
        <f t="array" aca="1" ref="K2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" spans="1:11" x14ac:dyDescent="0.35">
      <c r="A23" s="22">
        <f>YEAR(Tabela135[[#This Row],[Vencimento]])</f>
        <v>2023</v>
      </c>
      <c r="B23" s="23" t="str">
        <f>TEXT(D23,"mmmm")</f>
        <v>dezembro</v>
      </c>
      <c r="C23" s="23">
        <f>DAY(Tabela135[[#This Row],[Vencimento]])</f>
        <v>20</v>
      </c>
      <c r="D23" s="24">
        <v>45280</v>
      </c>
      <c r="E23" s="24">
        <v>45280</v>
      </c>
      <c r="F23" s="21">
        <v>345</v>
      </c>
      <c r="G23" s="21" t="s">
        <v>18</v>
      </c>
      <c r="H23" s="28" t="s">
        <v>42</v>
      </c>
      <c r="I23" s="28" t="s">
        <v>15</v>
      </c>
      <c r="J23" s="28" t="s">
        <v>13</v>
      </c>
      <c r="K23" s="27" t="str" cm="1">
        <f t="array" aca="1" ref="K2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" spans="1:11" x14ac:dyDescent="0.35">
      <c r="A24" s="22">
        <f>YEAR(Tabela135[[#This Row],[Vencimento]])</f>
        <v>2023</v>
      </c>
      <c r="B24" s="23" t="str">
        <f>TEXT(D24,"mmmm")</f>
        <v>dezembro</v>
      </c>
      <c r="C24" s="23">
        <f>DAY(Tabela135[[#This Row],[Vencimento]])</f>
        <v>20</v>
      </c>
      <c r="D24" s="24">
        <v>45280</v>
      </c>
      <c r="E24" s="24">
        <v>45280</v>
      </c>
      <c r="F24" s="21">
        <v>100</v>
      </c>
      <c r="G24" s="21" t="s">
        <v>43</v>
      </c>
      <c r="H24" s="28" t="s">
        <v>44</v>
      </c>
      <c r="I24" s="28" t="s">
        <v>12</v>
      </c>
      <c r="J24" s="28" t="s">
        <v>13</v>
      </c>
      <c r="K24" s="27" t="str" cm="1">
        <f t="array" aca="1" ref="K2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" spans="1:11" x14ac:dyDescent="0.35">
      <c r="A25" s="22">
        <f>YEAR(Tabela135[[#This Row],[Vencimento]])</f>
        <v>2023</v>
      </c>
      <c r="B25" s="23" t="str">
        <f>TEXT(D25,"mmmm")</f>
        <v>dezembro</v>
      </c>
      <c r="C25" s="23">
        <f>DAY(Tabela135[[#This Row],[Vencimento]])</f>
        <v>5</v>
      </c>
      <c r="D25" s="24">
        <v>45265</v>
      </c>
      <c r="E25" s="24">
        <v>45265</v>
      </c>
      <c r="F25" s="21">
        <v>2500</v>
      </c>
      <c r="G25" s="21" t="s">
        <v>45</v>
      </c>
      <c r="H25" s="28" t="s">
        <v>11</v>
      </c>
      <c r="I25" s="28" t="s">
        <v>12</v>
      </c>
      <c r="J25" s="28" t="s">
        <v>13</v>
      </c>
      <c r="K25" s="27" t="str" cm="1">
        <f t="array" aca="1" ref="K2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6" spans="1:11" x14ac:dyDescent="0.35">
      <c r="A26" s="22">
        <f>YEAR(Tabela135[[#This Row],[Vencimento]])</f>
        <v>2023</v>
      </c>
      <c r="B26" s="23" t="str">
        <f>TEXT(D26,"mmmm")</f>
        <v>dezembro</v>
      </c>
      <c r="C26" s="23">
        <f>DAY(Tabela135[[#This Row],[Vencimento]])</f>
        <v>20</v>
      </c>
      <c r="D26" s="24">
        <v>45280</v>
      </c>
      <c r="E26" s="24">
        <v>45280</v>
      </c>
      <c r="F26" s="21">
        <v>800</v>
      </c>
      <c r="G26" s="21" t="s">
        <v>46</v>
      </c>
      <c r="H26" s="28" t="s">
        <v>47</v>
      </c>
      <c r="I26" s="28" t="s">
        <v>12</v>
      </c>
      <c r="J26" s="28" t="s">
        <v>13</v>
      </c>
      <c r="K26" s="27" t="str" cm="1">
        <f t="array" aca="1" ref="K2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7" spans="1:11" x14ac:dyDescent="0.35">
      <c r="A27" s="22">
        <f>YEAR(Tabela135[[#This Row],[Vencimento]])</f>
        <v>2023</v>
      </c>
      <c r="B27" s="23" t="str">
        <f>TEXT(D27,"mmmm")</f>
        <v>dezembro</v>
      </c>
      <c r="C27" s="23">
        <f>DAY(Tabela135[[#This Row],[Vencimento]])</f>
        <v>20</v>
      </c>
      <c r="D27" s="24">
        <v>45280</v>
      </c>
      <c r="E27" s="24">
        <v>45280</v>
      </c>
      <c r="F27" s="21">
        <v>1000</v>
      </c>
      <c r="G27" s="21" t="s">
        <v>48</v>
      </c>
      <c r="H27" s="28" t="s">
        <v>49</v>
      </c>
      <c r="I27" s="28" t="s">
        <v>12</v>
      </c>
      <c r="J27" s="28" t="s">
        <v>13</v>
      </c>
      <c r="K27" s="27" t="str" cm="1">
        <f t="array" aca="1" ref="K2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8" spans="1:11" x14ac:dyDescent="0.35">
      <c r="A28" s="22">
        <f>YEAR(Tabela135[[#This Row],[Vencimento]])</f>
        <v>2023</v>
      </c>
      <c r="B28" s="23" t="str">
        <f>TEXT(D28,"mmmm")</f>
        <v>dezembro</v>
      </c>
      <c r="C28" s="23">
        <f>DAY(Tabela135[[#This Row],[Vencimento]])</f>
        <v>20</v>
      </c>
      <c r="D28" s="24">
        <v>45280</v>
      </c>
      <c r="E28" s="24">
        <v>45280</v>
      </c>
      <c r="F28" s="21">
        <v>345</v>
      </c>
      <c r="G28" s="21" t="s">
        <v>50</v>
      </c>
      <c r="H28" s="28" t="s">
        <v>42</v>
      </c>
      <c r="I28" s="28" t="s">
        <v>15</v>
      </c>
      <c r="J28" s="28" t="s">
        <v>13</v>
      </c>
      <c r="K28" s="27" t="str" cm="1">
        <f t="array" aca="1" ref="K2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9" spans="1:11" x14ac:dyDescent="0.35">
      <c r="A29" s="32">
        <f>YEAR(Tabela135[[#This Row],[Vencimento]])</f>
        <v>2023</v>
      </c>
      <c r="B29" s="27" t="str">
        <f>TEXT(D29,"mmmm")</f>
        <v>fevereiro</v>
      </c>
      <c r="C29" s="27">
        <f>DAY(Tabela135[[#This Row],[Vencimento]])</f>
        <v>5</v>
      </c>
      <c r="D29" s="24">
        <v>44962</v>
      </c>
      <c r="E29" s="24">
        <v>44962</v>
      </c>
      <c r="F29" s="21">
        <v>150</v>
      </c>
      <c r="G29" s="21" t="s">
        <v>21</v>
      </c>
      <c r="H29" s="28" t="s">
        <v>11</v>
      </c>
      <c r="I29" s="28" t="s">
        <v>12</v>
      </c>
      <c r="J29" s="28" t="s">
        <v>13</v>
      </c>
      <c r="K29" s="28" t="str" cm="1">
        <f t="array" aca="1" ref="K2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0" spans="1:11" x14ac:dyDescent="0.35">
      <c r="A30" s="22">
        <f>YEAR(Tabela135[[#This Row],[Vencimento]])</f>
        <v>2023</v>
      </c>
      <c r="B30" s="23" t="str">
        <f>TEXT(D30,"mmmm")</f>
        <v>fevereiro</v>
      </c>
      <c r="C30" s="23">
        <f>DAY(Tabela135[[#This Row],[Vencimento]])</f>
        <v>5</v>
      </c>
      <c r="D30" s="24">
        <v>44962</v>
      </c>
      <c r="E30" s="24">
        <v>44962</v>
      </c>
      <c r="F30" s="21">
        <v>350</v>
      </c>
      <c r="G30" s="21" t="s">
        <v>10</v>
      </c>
      <c r="H30" s="28" t="s">
        <v>11</v>
      </c>
      <c r="I30" s="28" t="s">
        <v>12</v>
      </c>
      <c r="J30" s="28" t="s">
        <v>13</v>
      </c>
      <c r="K30" s="28" t="str" cm="1">
        <f t="array" aca="1" ref="K3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1" spans="1:11" x14ac:dyDescent="0.35">
      <c r="A31" s="22">
        <f>YEAR(Tabela135[[#This Row],[Vencimento]])</f>
        <v>2023</v>
      </c>
      <c r="B31" s="23" t="str">
        <f>TEXT(D31,"mmmm")</f>
        <v>fevereiro</v>
      </c>
      <c r="C31" s="23">
        <f>DAY(Tabela135[[#This Row],[Vencimento]])</f>
        <v>20</v>
      </c>
      <c r="D31" s="24">
        <v>44977</v>
      </c>
      <c r="E31" s="24">
        <v>44976</v>
      </c>
      <c r="F31" s="21">
        <v>100</v>
      </c>
      <c r="G31" s="21" t="s">
        <v>20</v>
      </c>
      <c r="H31" s="28" t="s">
        <v>11</v>
      </c>
      <c r="I31" s="28" t="s">
        <v>12</v>
      </c>
      <c r="J31" s="28" t="s">
        <v>13</v>
      </c>
      <c r="K31" s="27" t="str" cm="1">
        <f t="array" aca="1" ref="K3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2" spans="1:11" x14ac:dyDescent="0.35">
      <c r="A32" s="22">
        <f>YEAR(Tabela135[[#This Row],[Vencimento]])</f>
        <v>2023</v>
      </c>
      <c r="B32" s="23" t="str">
        <f>TEXT(D32,"mmmm")</f>
        <v>fevereiro</v>
      </c>
      <c r="C32" s="23">
        <f>DAY(Tabela135[[#This Row],[Vencimento]])</f>
        <v>20</v>
      </c>
      <c r="D32" s="24">
        <v>44977</v>
      </c>
      <c r="E32" s="24">
        <v>44976</v>
      </c>
      <c r="F32" s="21">
        <v>800</v>
      </c>
      <c r="G32" s="21" t="s">
        <v>18</v>
      </c>
      <c r="H32" s="28" t="s">
        <v>42</v>
      </c>
      <c r="I32" s="28" t="s">
        <v>15</v>
      </c>
      <c r="J32" s="28" t="s">
        <v>13</v>
      </c>
      <c r="K32" s="27" t="str" cm="1">
        <f t="array" aca="1" ref="K3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3" spans="1:11" x14ac:dyDescent="0.35">
      <c r="A33" s="22">
        <f>YEAR(Tabela135[[#This Row],[Vencimento]])</f>
        <v>2023</v>
      </c>
      <c r="B33" s="23" t="str">
        <f>TEXT(D33,"mmmm")</f>
        <v>fevereiro</v>
      </c>
      <c r="C33" s="23">
        <f>DAY(Tabela135[[#This Row],[Vencimento]])</f>
        <v>20</v>
      </c>
      <c r="D33" s="24">
        <v>44977</v>
      </c>
      <c r="E33" s="24">
        <v>44976</v>
      </c>
      <c r="F33" s="21">
        <v>100</v>
      </c>
      <c r="G33" s="21" t="s">
        <v>43</v>
      </c>
      <c r="H33" s="28" t="s">
        <v>44</v>
      </c>
      <c r="I33" s="28" t="s">
        <v>12</v>
      </c>
      <c r="J33" s="28" t="s">
        <v>13</v>
      </c>
      <c r="K33" s="27" t="str" cm="1">
        <f t="array" aca="1" ref="K3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4" spans="1:11" x14ac:dyDescent="0.35">
      <c r="A34" s="22">
        <f>YEAR(Tabela135[[#This Row],[Vencimento]])</f>
        <v>2023</v>
      </c>
      <c r="B34" s="23" t="str">
        <f>TEXT(D34,"mmmm")</f>
        <v>fevereiro</v>
      </c>
      <c r="C34" s="23">
        <f>DAY(Tabela135[[#This Row],[Vencimento]])</f>
        <v>5</v>
      </c>
      <c r="D34" s="24">
        <v>44962</v>
      </c>
      <c r="E34" s="24">
        <v>44962</v>
      </c>
      <c r="F34" s="21">
        <v>2500</v>
      </c>
      <c r="G34" s="21" t="s">
        <v>45</v>
      </c>
      <c r="H34" s="28" t="s">
        <v>11</v>
      </c>
      <c r="I34" s="28" t="s">
        <v>12</v>
      </c>
      <c r="J34" s="28" t="s">
        <v>13</v>
      </c>
      <c r="K34" s="27" t="str" cm="1">
        <f t="array" aca="1" ref="K3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5" spans="1:11" x14ac:dyDescent="0.35">
      <c r="A35" s="22">
        <f>YEAR(Tabela135[[#This Row],[Vencimento]])</f>
        <v>2023</v>
      </c>
      <c r="B35" s="23" t="str">
        <f>TEXT(D35,"mmmm")</f>
        <v>fevereiro</v>
      </c>
      <c r="C35" s="23">
        <f>DAY(Tabela135[[#This Row],[Vencimento]])</f>
        <v>20</v>
      </c>
      <c r="D35" s="24">
        <v>44977</v>
      </c>
      <c r="E35" s="24">
        <v>44976</v>
      </c>
      <c r="F35" s="21">
        <v>800</v>
      </c>
      <c r="G35" s="21" t="s">
        <v>46</v>
      </c>
      <c r="H35" s="28" t="s">
        <v>47</v>
      </c>
      <c r="I35" s="28" t="s">
        <v>12</v>
      </c>
      <c r="J35" s="28" t="s">
        <v>13</v>
      </c>
      <c r="K35" s="27" t="str" cm="1">
        <f t="array" aca="1" ref="K3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6" spans="1:11" x14ac:dyDescent="0.35">
      <c r="A36" s="22">
        <f>YEAR(Tabela135[[#This Row],[Vencimento]])</f>
        <v>2023</v>
      </c>
      <c r="B36" s="23" t="str">
        <f>TEXT(D36,"mmmm")</f>
        <v>fevereiro</v>
      </c>
      <c r="C36" s="23">
        <f>DAY(Tabela135[[#This Row],[Vencimento]])</f>
        <v>20</v>
      </c>
      <c r="D36" s="24">
        <v>44977</v>
      </c>
      <c r="E36" s="24">
        <v>44976</v>
      </c>
      <c r="F36" s="21">
        <v>1000</v>
      </c>
      <c r="G36" s="21" t="s">
        <v>48</v>
      </c>
      <c r="H36" s="28" t="s">
        <v>49</v>
      </c>
      <c r="I36" s="28" t="s">
        <v>12</v>
      </c>
      <c r="J36" s="28" t="s">
        <v>13</v>
      </c>
      <c r="K36" s="27" t="str" cm="1">
        <f t="array" aca="1" ref="K3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7" spans="1:11" x14ac:dyDescent="0.35">
      <c r="A37" s="22">
        <f>YEAR(Tabela135[[#This Row],[Vencimento]])</f>
        <v>2023</v>
      </c>
      <c r="B37" s="23" t="str">
        <f>TEXT(D37,"mmmm")</f>
        <v>fevereiro</v>
      </c>
      <c r="C37" s="23">
        <f>DAY(Tabela135[[#This Row],[Vencimento]])</f>
        <v>20</v>
      </c>
      <c r="D37" s="24">
        <v>44977</v>
      </c>
      <c r="E37" s="24">
        <v>44976</v>
      </c>
      <c r="F37" s="21">
        <v>302</v>
      </c>
      <c r="G37" s="21" t="s">
        <v>50</v>
      </c>
      <c r="H37" s="28" t="s">
        <v>42</v>
      </c>
      <c r="I37" s="28" t="s">
        <v>15</v>
      </c>
      <c r="J37" s="28" t="s">
        <v>13</v>
      </c>
      <c r="K37" s="27" t="str" cm="1">
        <f t="array" aca="1" ref="K3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8" spans="1:11" x14ac:dyDescent="0.35">
      <c r="A38" s="32">
        <f>YEAR(Tabela135[[#This Row],[Vencimento]])</f>
        <v>2023</v>
      </c>
      <c r="B38" s="27" t="str">
        <f>TEXT(D38,"mmmm")</f>
        <v>janeiro</v>
      </c>
      <c r="C38" s="27">
        <f>DAY(Tabela135[[#This Row],[Vencimento]])</f>
        <v>5</v>
      </c>
      <c r="D38" s="24">
        <v>44931</v>
      </c>
      <c r="E38" s="24">
        <v>44931</v>
      </c>
      <c r="F38" s="21">
        <v>150</v>
      </c>
      <c r="G38" s="21" t="s">
        <v>21</v>
      </c>
      <c r="H38" s="28" t="s">
        <v>11</v>
      </c>
      <c r="I38" s="28" t="s">
        <v>12</v>
      </c>
      <c r="J38" s="28" t="s">
        <v>13</v>
      </c>
      <c r="K38" s="28" t="str" cm="1">
        <f t="array" aca="1" ref="K3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9" spans="1:11" x14ac:dyDescent="0.35">
      <c r="A39" s="19">
        <f>YEAR(Tabela135[[#This Row],[Vencimento]])</f>
        <v>2023</v>
      </c>
      <c r="B39" s="20" t="str">
        <f>TEXT(D39,"mmmm")</f>
        <v>janeiro</v>
      </c>
      <c r="C39" s="20">
        <f>DAY(Tabela135[[#This Row],[Vencimento]])</f>
        <v>5</v>
      </c>
      <c r="D39" s="24">
        <v>44931</v>
      </c>
      <c r="E39" s="24">
        <v>44931</v>
      </c>
      <c r="F39" s="21">
        <v>350</v>
      </c>
      <c r="G39" s="28" t="s">
        <v>10</v>
      </c>
      <c r="H39" s="28" t="s">
        <v>11</v>
      </c>
      <c r="I39" s="28" t="s">
        <v>12</v>
      </c>
      <c r="J39" s="28" t="s">
        <v>13</v>
      </c>
      <c r="K39" s="28" t="str" cm="1">
        <f t="array" aca="1" ref="K3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0" spans="1:11" x14ac:dyDescent="0.35">
      <c r="A40" s="22">
        <f>YEAR(Tabela135[[#This Row],[Vencimento]])</f>
        <v>2023</v>
      </c>
      <c r="B40" s="23" t="str">
        <f>TEXT(D40,"mmmm")</f>
        <v>janeiro</v>
      </c>
      <c r="C40" s="23">
        <f>DAY(Tabela135[[#This Row],[Vencimento]])</f>
        <v>20</v>
      </c>
      <c r="D40" s="24">
        <v>44946</v>
      </c>
      <c r="E40" s="24">
        <v>44946</v>
      </c>
      <c r="F40" s="21">
        <v>100</v>
      </c>
      <c r="G40" s="21" t="s">
        <v>20</v>
      </c>
      <c r="H40" s="28" t="s">
        <v>11</v>
      </c>
      <c r="I40" s="28" t="s">
        <v>12</v>
      </c>
      <c r="J40" s="28" t="s">
        <v>13</v>
      </c>
      <c r="K40" s="27" t="str" cm="1">
        <f t="array" aca="1" ref="K4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1" spans="1:11" x14ac:dyDescent="0.35">
      <c r="A41" s="22">
        <f>YEAR(Tabela135[[#This Row],[Vencimento]])</f>
        <v>2023</v>
      </c>
      <c r="B41" s="23" t="str">
        <f>TEXT(D41,"mmmm")</f>
        <v>janeiro</v>
      </c>
      <c r="C41" s="23">
        <f>DAY(Tabela135[[#This Row],[Vencimento]])</f>
        <v>20</v>
      </c>
      <c r="D41" s="24">
        <v>44946</v>
      </c>
      <c r="E41" s="24">
        <v>44946</v>
      </c>
      <c r="F41" s="21">
        <v>1200</v>
      </c>
      <c r="G41" s="21" t="s">
        <v>18</v>
      </c>
      <c r="H41" s="28" t="s">
        <v>42</v>
      </c>
      <c r="I41" s="28" t="s">
        <v>15</v>
      </c>
      <c r="J41" s="28" t="s">
        <v>13</v>
      </c>
      <c r="K41" s="27" t="str" cm="1">
        <f t="array" aca="1" ref="K4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2" spans="1:11" x14ac:dyDescent="0.35">
      <c r="A42" s="22">
        <f>YEAR(Tabela135[[#This Row],[Vencimento]])</f>
        <v>2023</v>
      </c>
      <c r="B42" s="23" t="str">
        <f>TEXT(D42,"mmmm")</f>
        <v>janeiro</v>
      </c>
      <c r="C42" s="23">
        <f>DAY(Tabela135[[#This Row],[Vencimento]])</f>
        <v>20</v>
      </c>
      <c r="D42" s="24">
        <v>44946</v>
      </c>
      <c r="E42" s="24">
        <v>44946</v>
      </c>
      <c r="F42" s="21">
        <v>100</v>
      </c>
      <c r="G42" s="21" t="s">
        <v>43</v>
      </c>
      <c r="H42" s="28" t="s">
        <v>44</v>
      </c>
      <c r="I42" s="28" t="s">
        <v>12</v>
      </c>
      <c r="J42" s="28" t="s">
        <v>13</v>
      </c>
      <c r="K42" s="27" t="str" cm="1">
        <f t="array" aca="1" ref="K4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3" spans="1:11" x14ac:dyDescent="0.35">
      <c r="A43" s="22">
        <f>YEAR(Tabela135[[#This Row],[Vencimento]])</f>
        <v>2023</v>
      </c>
      <c r="B43" s="23" t="str">
        <f>TEXT(D43,"mmmm")</f>
        <v>janeiro</v>
      </c>
      <c r="C43" s="23">
        <f>DAY(Tabela135[[#This Row],[Vencimento]])</f>
        <v>5</v>
      </c>
      <c r="D43" s="24">
        <v>44931</v>
      </c>
      <c r="E43" s="24">
        <v>44933</v>
      </c>
      <c r="F43" s="21">
        <v>2500</v>
      </c>
      <c r="G43" s="21" t="s">
        <v>45</v>
      </c>
      <c r="H43" s="28" t="s">
        <v>11</v>
      </c>
      <c r="I43" s="28" t="s">
        <v>12</v>
      </c>
      <c r="J43" s="28" t="s">
        <v>13</v>
      </c>
      <c r="K43" s="27" t="str" cm="1">
        <f t="array" aca="1" ref="K4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44" spans="1:11" x14ac:dyDescent="0.35">
      <c r="A44" s="22">
        <f>YEAR(Tabela135[[#This Row],[Vencimento]])</f>
        <v>2023</v>
      </c>
      <c r="B44" s="23" t="str">
        <f>TEXT(D44,"mmmm")</f>
        <v>janeiro</v>
      </c>
      <c r="C44" s="23">
        <f>DAY(Tabela135[[#This Row],[Vencimento]])</f>
        <v>20</v>
      </c>
      <c r="D44" s="24">
        <v>44946</v>
      </c>
      <c r="E44" s="24">
        <v>44946</v>
      </c>
      <c r="F44" s="21">
        <v>800</v>
      </c>
      <c r="G44" s="21" t="s">
        <v>46</v>
      </c>
      <c r="H44" s="28" t="s">
        <v>47</v>
      </c>
      <c r="I44" s="28" t="s">
        <v>12</v>
      </c>
      <c r="J44" s="28" t="s">
        <v>13</v>
      </c>
      <c r="K44" s="27" t="str" cm="1">
        <f t="array" aca="1" ref="K4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5" spans="1:11" x14ac:dyDescent="0.35">
      <c r="A45" s="22">
        <f>YEAR(Tabela135[[#This Row],[Vencimento]])</f>
        <v>2023</v>
      </c>
      <c r="B45" s="23" t="str">
        <f>TEXT(D45,"mmmm")</f>
        <v>janeiro</v>
      </c>
      <c r="C45" s="23">
        <f>DAY(Tabela135[[#This Row],[Vencimento]])</f>
        <v>20</v>
      </c>
      <c r="D45" s="24">
        <v>44946</v>
      </c>
      <c r="E45" s="24">
        <v>44946</v>
      </c>
      <c r="F45" s="21">
        <v>1000</v>
      </c>
      <c r="G45" s="21" t="s">
        <v>48</v>
      </c>
      <c r="H45" s="28" t="s">
        <v>49</v>
      </c>
      <c r="I45" s="28" t="s">
        <v>12</v>
      </c>
      <c r="J45" s="28" t="s">
        <v>13</v>
      </c>
      <c r="K45" s="27" t="str" cm="1">
        <f t="array" aca="1" ref="K4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6" spans="1:11" x14ac:dyDescent="0.35">
      <c r="A46" s="22">
        <f>YEAR(Tabela135[[#This Row],[Vencimento]])</f>
        <v>2023</v>
      </c>
      <c r="B46" s="23" t="str">
        <f>TEXT(D46,"mmmm")</f>
        <v>janeiro</v>
      </c>
      <c r="C46" s="23">
        <f>DAY(Tabela135[[#This Row],[Vencimento]])</f>
        <v>20</v>
      </c>
      <c r="D46" s="24">
        <v>44946</v>
      </c>
      <c r="E46" s="24">
        <v>44946</v>
      </c>
      <c r="F46" s="21">
        <v>555</v>
      </c>
      <c r="G46" s="21" t="s">
        <v>50</v>
      </c>
      <c r="H46" s="28" t="s">
        <v>42</v>
      </c>
      <c r="I46" s="28" t="s">
        <v>15</v>
      </c>
      <c r="J46" s="28" t="s">
        <v>13</v>
      </c>
      <c r="K46" s="27" t="str" cm="1">
        <f t="array" aca="1" ref="K4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7" spans="1:11" x14ac:dyDescent="0.35">
      <c r="A47" s="32">
        <f>YEAR(Tabela135[[#This Row],[Vencimento]])</f>
        <v>2023</v>
      </c>
      <c r="B47" s="27" t="str">
        <f>TEXT(D47,"mmmm")</f>
        <v>julho</v>
      </c>
      <c r="C47" s="27">
        <f>DAY(Tabela135[[#This Row],[Vencimento]])</f>
        <v>5</v>
      </c>
      <c r="D47" s="24">
        <v>45112</v>
      </c>
      <c r="E47" s="24">
        <v>45112</v>
      </c>
      <c r="F47" s="21">
        <v>150</v>
      </c>
      <c r="G47" s="21" t="s">
        <v>21</v>
      </c>
      <c r="H47" s="28" t="s">
        <v>11</v>
      </c>
      <c r="I47" s="28" t="s">
        <v>12</v>
      </c>
      <c r="J47" s="28" t="s">
        <v>13</v>
      </c>
      <c r="K47" s="28" t="str" cm="1">
        <f t="array" aca="1" ref="K4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8" spans="1:11" x14ac:dyDescent="0.35">
      <c r="A48" s="19">
        <f>YEAR(Tabela135[[#This Row],[Vencimento]])</f>
        <v>2023</v>
      </c>
      <c r="B48" s="20" t="str">
        <f>TEXT(D48,"mmmm")</f>
        <v>julho</v>
      </c>
      <c r="C48" s="20">
        <f>DAY(Tabela135[[#This Row],[Vencimento]])</f>
        <v>5</v>
      </c>
      <c r="D48" s="24">
        <v>45112</v>
      </c>
      <c r="E48" s="24">
        <v>45112</v>
      </c>
      <c r="F48" s="21">
        <v>350</v>
      </c>
      <c r="G48" s="21" t="s">
        <v>10</v>
      </c>
      <c r="H48" s="28" t="s">
        <v>11</v>
      </c>
      <c r="I48" s="28" t="s">
        <v>12</v>
      </c>
      <c r="J48" s="28" t="s">
        <v>13</v>
      </c>
      <c r="K48" s="28" t="str" cm="1">
        <f t="array" aca="1" ref="K4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9" spans="1:11" x14ac:dyDescent="0.35">
      <c r="A49" s="22">
        <f>YEAR(Tabela135[[#This Row],[Vencimento]])</f>
        <v>2023</v>
      </c>
      <c r="B49" s="23" t="str">
        <f>TEXT(D49,"mmmm")</f>
        <v>julho</v>
      </c>
      <c r="C49" s="23">
        <f>DAY(Tabela135[[#This Row],[Vencimento]])</f>
        <v>20</v>
      </c>
      <c r="D49" s="24">
        <v>45127</v>
      </c>
      <c r="E49" s="24">
        <v>45129</v>
      </c>
      <c r="F49" s="21">
        <v>100</v>
      </c>
      <c r="G49" s="21" t="s">
        <v>20</v>
      </c>
      <c r="H49" s="28" t="s">
        <v>11</v>
      </c>
      <c r="I49" s="28" t="s">
        <v>12</v>
      </c>
      <c r="J49" s="28" t="s">
        <v>13</v>
      </c>
      <c r="K49" s="27" t="str" cm="1">
        <f t="array" aca="1" ref="K4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50" spans="1:11" x14ac:dyDescent="0.35">
      <c r="A50" s="22">
        <f>YEAR(Tabela135[[#This Row],[Vencimento]])</f>
        <v>2023</v>
      </c>
      <c r="B50" s="23" t="str">
        <f>TEXT(D50,"mmmm")</f>
        <v>julho</v>
      </c>
      <c r="C50" s="23">
        <f>DAY(Tabela135[[#This Row],[Vencimento]])</f>
        <v>20</v>
      </c>
      <c r="D50" s="24">
        <v>45127</v>
      </c>
      <c r="E50" s="24">
        <v>45129</v>
      </c>
      <c r="F50" s="21">
        <v>1194</v>
      </c>
      <c r="G50" s="21" t="s">
        <v>18</v>
      </c>
      <c r="H50" s="28" t="s">
        <v>42</v>
      </c>
      <c r="I50" s="28" t="s">
        <v>15</v>
      </c>
      <c r="J50" s="28" t="s">
        <v>13</v>
      </c>
      <c r="K50" s="27" t="str" cm="1">
        <f t="array" aca="1" ref="K5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51" spans="1:11" x14ac:dyDescent="0.35">
      <c r="A51" s="22">
        <f>YEAR(Tabela135[[#This Row],[Vencimento]])</f>
        <v>2023</v>
      </c>
      <c r="B51" s="23" t="str">
        <f>TEXT(D51,"mmmm")</f>
        <v>julho</v>
      </c>
      <c r="C51" s="23">
        <f>DAY(Tabela135[[#This Row],[Vencimento]])</f>
        <v>20</v>
      </c>
      <c r="D51" s="24">
        <v>45127</v>
      </c>
      <c r="E51" s="24">
        <v>45127</v>
      </c>
      <c r="F51" s="21">
        <v>100</v>
      </c>
      <c r="G51" s="21" t="s">
        <v>43</v>
      </c>
      <c r="H51" s="28" t="s">
        <v>44</v>
      </c>
      <c r="I51" s="28" t="s">
        <v>12</v>
      </c>
      <c r="J51" s="28" t="s">
        <v>13</v>
      </c>
      <c r="K51" s="27" t="str" cm="1">
        <f t="array" aca="1" ref="K5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52" spans="1:11" x14ac:dyDescent="0.35">
      <c r="A52" s="22">
        <f>YEAR(Tabela135[[#This Row],[Vencimento]])</f>
        <v>2023</v>
      </c>
      <c r="B52" s="23" t="str">
        <f>TEXT(D52,"mmmm")</f>
        <v>julho</v>
      </c>
      <c r="C52" s="23">
        <f>DAY(Tabela135[[#This Row],[Vencimento]])</f>
        <v>5</v>
      </c>
      <c r="D52" s="24">
        <v>45112</v>
      </c>
      <c r="E52" s="24">
        <v>45112</v>
      </c>
      <c r="F52" s="21">
        <v>2500</v>
      </c>
      <c r="G52" s="21" t="s">
        <v>45</v>
      </c>
      <c r="H52" s="28" t="s">
        <v>11</v>
      </c>
      <c r="I52" s="28" t="s">
        <v>12</v>
      </c>
      <c r="J52" s="28" t="s">
        <v>13</v>
      </c>
      <c r="K52" s="27" t="str" cm="1">
        <f t="array" aca="1" ref="K5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53" spans="1:11" x14ac:dyDescent="0.35">
      <c r="A53" s="22">
        <f>YEAR(Tabela135[[#This Row],[Vencimento]])</f>
        <v>2023</v>
      </c>
      <c r="B53" s="23" t="str">
        <f>TEXT(D53,"mmmm")</f>
        <v>julho</v>
      </c>
      <c r="C53" s="23">
        <f>DAY(Tabela135[[#This Row],[Vencimento]])</f>
        <v>20</v>
      </c>
      <c r="D53" s="24">
        <v>45127</v>
      </c>
      <c r="E53" s="24">
        <v>45127</v>
      </c>
      <c r="F53" s="21">
        <v>800</v>
      </c>
      <c r="G53" s="21" t="s">
        <v>46</v>
      </c>
      <c r="H53" s="28" t="s">
        <v>47</v>
      </c>
      <c r="I53" s="28" t="s">
        <v>12</v>
      </c>
      <c r="J53" s="28" t="s">
        <v>13</v>
      </c>
      <c r="K53" s="27" t="str" cm="1">
        <f t="array" aca="1" ref="K5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54" spans="1:11" x14ac:dyDescent="0.35">
      <c r="A54" s="22">
        <f>YEAR(Tabela135[[#This Row],[Vencimento]])</f>
        <v>2023</v>
      </c>
      <c r="B54" s="23" t="str">
        <f>TEXT(D54,"mmmm")</f>
        <v>julho</v>
      </c>
      <c r="C54" s="23">
        <f>DAY(Tabela135[[#This Row],[Vencimento]])</f>
        <v>20</v>
      </c>
      <c r="D54" s="24">
        <v>45127</v>
      </c>
      <c r="E54" s="24">
        <v>45127</v>
      </c>
      <c r="F54" s="21">
        <v>1000</v>
      </c>
      <c r="G54" s="21" t="s">
        <v>48</v>
      </c>
      <c r="H54" s="28" t="s">
        <v>49</v>
      </c>
      <c r="I54" s="28" t="s">
        <v>12</v>
      </c>
      <c r="J54" s="28" t="s">
        <v>13</v>
      </c>
      <c r="K54" s="27" t="str" cm="1">
        <f t="array" aca="1" ref="K5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55" spans="1:11" x14ac:dyDescent="0.35">
      <c r="A55" s="22">
        <f>YEAR(Tabela135[[#This Row],[Vencimento]])</f>
        <v>2023</v>
      </c>
      <c r="B55" s="23" t="str">
        <f>TEXT(D55,"mmmm")</f>
        <v>julho</v>
      </c>
      <c r="C55" s="23">
        <f>DAY(Tabela135[[#This Row],[Vencimento]])</f>
        <v>20</v>
      </c>
      <c r="D55" s="24">
        <v>45127</v>
      </c>
      <c r="E55" s="24">
        <v>45129</v>
      </c>
      <c r="F55" s="21">
        <v>134</v>
      </c>
      <c r="G55" s="21" t="s">
        <v>50</v>
      </c>
      <c r="H55" s="28" t="s">
        <v>42</v>
      </c>
      <c r="I55" s="28" t="s">
        <v>15</v>
      </c>
      <c r="J55" s="28" t="s">
        <v>13</v>
      </c>
      <c r="K55" s="27" t="str" cm="1">
        <f t="array" aca="1" ref="K5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56" spans="1:11" x14ac:dyDescent="0.35">
      <c r="A56" s="32">
        <f>YEAR(Tabela135[[#This Row],[Vencimento]])</f>
        <v>2023</v>
      </c>
      <c r="B56" s="27" t="str">
        <f>TEXT(D56,"mmmm")</f>
        <v>junho</v>
      </c>
      <c r="C56" s="27">
        <f>DAY(Tabela135[[#This Row],[Vencimento]])</f>
        <v>5</v>
      </c>
      <c r="D56" s="24">
        <v>45082</v>
      </c>
      <c r="E56" s="24">
        <v>45082</v>
      </c>
      <c r="F56" s="21">
        <v>150</v>
      </c>
      <c r="G56" s="21" t="s">
        <v>21</v>
      </c>
      <c r="H56" s="28" t="s">
        <v>11</v>
      </c>
      <c r="I56" s="28" t="s">
        <v>12</v>
      </c>
      <c r="J56" s="28" t="s">
        <v>13</v>
      </c>
      <c r="K56" s="28" t="str" cm="1">
        <f t="array" aca="1" ref="K5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57" spans="1:11" x14ac:dyDescent="0.35">
      <c r="A57" s="19">
        <f>YEAR(Tabela135[[#This Row],[Vencimento]])</f>
        <v>2023</v>
      </c>
      <c r="B57" s="20" t="str">
        <f>TEXT(D57,"mmmm")</f>
        <v>junho</v>
      </c>
      <c r="C57" s="20">
        <f>DAY(Tabela135[[#This Row],[Vencimento]])</f>
        <v>5</v>
      </c>
      <c r="D57" s="24">
        <v>45082</v>
      </c>
      <c r="E57" s="24">
        <v>45082</v>
      </c>
      <c r="F57" s="21">
        <v>350</v>
      </c>
      <c r="G57" s="21" t="s">
        <v>10</v>
      </c>
      <c r="H57" s="28" t="s">
        <v>11</v>
      </c>
      <c r="I57" s="28" t="s">
        <v>12</v>
      </c>
      <c r="J57" s="28" t="s">
        <v>13</v>
      </c>
      <c r="K57" s="28" t="str" cm="1">
        <f t="array" aca="1" ref="K5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58" spans="1:11" x14ac:dyDescent="0.35">
      <c r="A58" s="22">
        <f>YEAR(Tabela135[[#This Row],[Vencimento]])</f>
        <v>2023</v>
      </c>
      <c r="B58" s="23" t="str">
        <f>TEXT(D58,"mmmm")</f>
        <v>junho</v>
      </c>
      <c r="C58" s="23">
        <f>DAY(Tabela135[[#This Row],[Vencimento]])</f>
        <v>20</v>
      </c>
      <c r="D58" s="24">
        <v>45097</v>
      </c>
      <c r="E58" s="24">
        <v>45097</v>
      </c>
      <c r="F58" s="21">
        <v>100</v>
      </c>
      <c r="G58" s="21" t="s">
        <v>20</v>
      </c>
      <c r="H58" s="28" t="s">
        <v>11</v>
      </c>
      <c r="I58" s="28" t="s">
        <v>12</v>
      </c>
      <c r="J58" s="28" t="s">
        <v>13</v>
      </c>
      <c r="K58" s="27" t="str" cm="1">
        <f t="array" aca="1" ref="K5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59" spans="1:11" x14ac:dyDescent="0.35">
      <c r="A59" s="22">
        <f>YEAR(Tabela135[[#This Row],[Vencimento]])</f>
        <v>2023</v>
      </c>
      <c r="B59" s="23" t="str">
        <f>TEXT(D59,"mmmm")</f>
        <v>junho</v>
      </c>
      <c r="C59" s="23">
        <f>DAY(Tabela135[[#This Row],[Vencimento]])</f>
        <v>20</v>
      </c>
      <c r="D59" s="24">
        <v>45097</v>
      </c>
      <c r="E59" s="24">
        <v>45097</v>
      </c>
      <c r="F59" s="21">
        <v>983</v>
      </c>
      <c r="G59" s="21" t="s">
        <v>18</v>
      </c>
      <c r="H59" s="28" t="s">
        <v>42</v>
      </c>
      <c r="I59" s="28" t="s">
        <v>15</v>
      </c>
      <c r="J59" s="28" t="s">
        <v>13</v>
      </c>
      <c r="K59" s="27" t="str" cm="1">
        <f t="array" aca="1" ref="K5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60" spans="1:11" x14ac:dyDescent="0.35">
      <c r="A60" s="22">
        <f>YEAR(Tabela135[[#This Row],[Vencimento]])</f>
        <v>2023</v>
      </c>
      <c r="B60" s="23" t="str">
        <f>TEXT(D60,"mmmm")</f>
        <v>junho</v>
      </c>
      <c r="C60" s="23">
        <f>DAY(Tabela135[[#This Row],[Vencimento]])</f>
        <v>20</v>
      </c>
      <c r="D60" s="24">
        <v>45097</v>
      </c>
      <c r="E60" s="24">
        <v>45097</v>
      </c>
      <c r="F60" s="21">
        <v>100</v>
      </c>
      <c r="G60" s="21" t="s">
        <v>43</v>
      </c>
      <c r="H60" s="28" t="s">
        <v>44</v>
      </c>
      <c r="I60" s="28" t="s">
        <v>12</v>
      </c>
      <c r="J60" s="28" t="s">
        <v>13</v>
      </c>
      <c r="K60" s="27" t="str" cm="1">
        <f t="array" aca="1" ref="K6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61" spans="1:11" x14ac:dyDescent="0.35">
      <c r="A61" s="22">
        <f>YEAR(Tabela135[[#This Row],[Vencimento]])</f>
        <v>2023</v>
      </c>
      <c r="B61" s="23" t="str">
        <f>TEXT(D61,"mmmm")</f>
        <v>junho</v>
      </c>
      <c r="C61" s="23">
        <f>DAY(Tabela135[[#This Row],[Vencimento]])</f>
        <v>5</v>
      </c>
      <c r="D61" s="24">
        <v>45082</v>
      </c>
      <c r="E61" s="24">
        <v>45082</v>
      </c>
      <c r="F61" s="21">
        <v>2500</v>
      </c>
      <c r="G61" s="21" t="s">
        <v>45</v>
      </c>
      <c r="H61" s="28" t="s">
        <v>11</v>
      </c>
      <c r="I61" s="28" t="s">
        <v>12</v>
      </c>
      <c r="J61" s="28" t="s">
        <v>13</v>
      </c>
      <c r="K61" s="27" t="str" cm="1">
        <f t="array" aca="1" ref="K6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62" spans="1:11" x14ac:dyDescent="0.35">
      <c r="A62" s="22">
        <f>YEAR(Tabela135[[#This Row],[Vencimento]])</f>
        <v>2023</v>
      </c>
      <c r="B62" s="23" t="str">
        <f>TEXT(D62,"mmmm")</f>
        <v>junho</v>
      </c>
      <c r="C62" s="23">
        <f>DAY(Tabela135[[#This Row],[Vencimento]])</f>
        <v>20</v>
      </c>
      <c r="D62" s="24">
        <v>45097</v>
      </c>
      <c r="E62" s="24">
        <v>45097</v>
      </c>
      <c r="F62" s="21">
        <v>800</v>
      </c>
      <c r="G62" s="21" t="s">
        <v>46</v>
      </c>
      <c r="H62" s="28" t="s">
        <v>47</v>
      </c>
      <c r="I62" s="28" t="s">
        <v>12</v>
      </c>
      <c r="J62" s="28" t="s">
        <v>13</v>
      </c>
      <c r="K62" s="27" t="str" cm="1">
        <f t="array" aca="1" ref="K6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63" spans="1:11" x14ac:dyDescent="0.35">
      <c r="A63" s="22">
        <f>YEAR(Tabela135[[#This Row],[Vencimento]])</f>
        <v>2023</v>
      </c>
      <c r="B63" s="23" t="str">
        <f>TEXT(D63,"mmmm")</f>
        <v>junho</v>
      </c>
      <c r="C63" s="23">
        <f>DAY(Tabela135[[#This Row],[Vencimento]])</f>
        <v>20</v>
      </c>
      <c r="D63" s="24">
        <v>45097</v>
      </c>
      <c r="E63" s="24">
        <v>45097</v>
      </c>
      <c r="F63" s="21">
        <v>1000</v>
      </c>
      <c r="G63" s="21" t="s">
        <v>48</v>
      </c>
      <c r="H63" s="28" t="s">
        <v>49</v>
      </c>
      <c r="I63" s="28" t="s">
        <v>12</v>
      </c>
      <c r="J63" s="28" t="s">
        <v>13</v>
      </c>
      <c r="K63" s="27" t="str" cm="1">
        <f t="array" aca="1" ref="K6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64" spans="1:11" x14ac:dyDescent="0.35">
      <c r="A64" s="22">
        <f>YEAR(Tabela135[[#This Row],[Vencimento]])</f>
        <v>2023</v>
      </c>
      <c r="B64" s="23" t="str">
        <f>TEXT(D64,"mmmm")</f>
        <v>junho</v>
      </c>
      <c r="C64" s="23">
        <f>DAY(Tabela135[[#This Row],[Vencimento]])</f>
        <v>20</v>
      </c>
      <c r="D64" s="24">
        <v>45097</v>
      </c>
      <c r="E64" s="24">
        <v>45097</v>
      </c>
      <c r="F64" s="21">
        <v>234</v>
      </c>
      <c r="G64" s="21" t="s">
        <v>50</v>
      </c>
      <c r="H64" s="28" t="s">
        <v>42</v>
      </c>
      <c r="I64" s="28" t="s">
        <v>15</v>
      </c>
      <c r="J64" s="28" t="s">
        <v>13</v>
      </c>
      <c r="K64" s="27" t="str" cm="1">
        <f t="array" aca="1" ref="K6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65" spans="1:15" x14ac:dyDescent="0.35">
      <c r="A65" s="32">
        <f>YEAR(Tabela135[[#This Row],[Vencimento]])</f>
        <v>2023</v>
      </c>
      <c r="B65" s="27" t="str">
        <f>TEXT(D65,"mmmm")</f>
        <v>maio</v>
      </c>
      <c r="C65" s="27">
        <f>DAY(Tabela135[[#This Row],[Vencimento]])</f>
        <v>5</v>
      </c>
      <c r="D65" s="24">
        <v>45051</v>
      </c>
      <c r="E65" s="24">
        <v>45052</v>
      </c>
      <c r="F65" s="21">
        <v>150</v>
      </c>
      <c r="G65" s="21" t="s">
        <v>21</v>
      </c>
      <c r="H65" s="28" t="s">
        <v>11</v>
      </c>
      <c r="I65" s="28" t="s">
        <v>12</v>
      </c>
      <c r="J65" s="28" t="s">
        <v>13</v>
      </c>
      <c r="K65" s="28" t="str" cm="1">
        <f t="array" aca="1" ref="K6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66" spans="1:15" x14ac:dyDescent="0.35">
      <c r="A66" s="19">
        <f>YEAR(Tabela135[[#This Row],[Vencimento]])</f>
        <v>2023</v>
      </c>
      <c r="B66" s="20" t="str">
        <f>TEXT(D66,"mmmm")</f>
        <v>maio</v>
      </c>
      <c r="C66" s="20">
        <f>DAY(Tabela135[[#This Row],[Vencimento]])</f>
        <v>5</v>
      </c>
      <c r="D66" s="24">
        <v>45051</v>
      </c>
      <c r="E66" s="24">
        <v>45052</v>
      </c>
      <c r="F66" s="21">
        <v>350</v>
      </c>
      <c r="G66" s="28" t="s">
        <v>10</v>
      </c>
      <c r="H66" s="28" t="s">
        <v>11</v>
      </c>
      <c r="I66" s="28" t="s">
        <v>12</v>
      </c>
      <c r="J66" s="28" t="s">
        <v>13</v>
      </c>
      <c r="K66" s="28" t="str" cm="1">
        <f t="array" aca="1" ref="K6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67" spans="1:15" x14ac:dyDescent="0.35">
      <c r="A67" s="22">
        <f>YEAR(Tabela135[[#This Row],[Vencimento]])</f>
        <v>2023</v>
      </c>
      <c r="B67" s="23" t="str">
        <f>TEXT(D67,"mmmm")</f>
        <v>maio</v>
      </c>
      <c r="C67" s="23">
        <f>DAY(Tabela135[[#This Row],[Vencimento]])</f>
        <v>20</v>
      </c>
      <c r="D67" s="24">
        <v>45066</v>
      </c>
      <c r="E67" s="24">
        <v>45066</v>
      </c>
      <c r="F67" s="21">
        <v>100</v>
      </c>
      <c r="G67" s="21" t="s">
        <v>20</v>
      </c>
      <c r="H67" s="28" t="s">
        <v>11</v>
      </c>
      <c r="I67" s="28" t="s">
        <v>12</v>
      </c>
      <c r="J67" s="28" t="s">
        <v>13</v>
      </c>
      <c r="K67" s="27" t="str" cm="1">
        <f t="array" aca="1" ref="K6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68" spans="1:15" x14ac:dyDescent="0.35">
      <c r="A68" s="22">
        <f>YEAR(Tabela135[[#This Row],[Vencimento]])</f>
        <v>2023</v>
      </c>
      <c r="B68" s="23" t="str">
        <f>TEXT(D68,"mmmm")</f>
        <v>maio</v>
      </c>
      <c r="C68" s="23">
        <f>DAY(Tabela135[[#This Row],[Vencimento]])</f>
        <v>20</v>
      </c>
      <c r="D68" s="24">
        <v>45066</v>
      </c>
      <c r="E68" s="24">
        <v>45066</v>
      </c>
      <c r="F68" s="21">
        <v>373</v>
      </c>
      <c r="G68" s="21" t="s">
        <v>18</v>
      </c>
      <c r="H68" s="28" t="s">
        <v>42</v>
      </c>
      <c r="I68" s="28" t="s">
        <v>15</v>
      </c>
      <c r="J68" s="28" t="s">
        <v>13</v>
      </c>
      <c r="K68" s="27" t="str" cm="1">
        <f t="array" aca="1" ref="K6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69" spans="1:15" x14ac:dyDescent="0.35">
      <c r="A69" s="22">
        <f>YEAR(Tabela135[[#This Row],[Vencimento]])</f>
        <v>2023</v>
      </c>
      <c r="B69" s="23" t="str">
        <f>TEXT(D69,"mmmm")</f>
        <v>maio</v>
      </c>
      <c r="C69" s="23">
        <f>DAY(Tabela135[[#This Row],[Vencimento]])</f>
        <v>20</v>
      </c>
      <c r="D69" s="24">
        <v>45066</v>
      </c>
      <c r="E69" s="24">
        <v>45068</v>
      </c>
      <c r="F69" s="21">
        <v>100</v>
      </c>
      <c r="G69" s="21" t="s">
        <v>43</v>
      </c>
      <c r="H69" s="28" t="s">
        <v>44</v>
      </c>
      <c r="I69" s="28" t="s">
        <v>12</v>
      </c>
      <c r="J69" s="28" t="s">
        <v>13</v>
      </c>
      <c r="K69" s="27" t="str" cm="1">
        <f t="array" aca="1" ref="K6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  <c r="M69" s="14"/>
      <c r="O69" s="14"/>
    </row>
    <row r="70" spans="1:15" x14ac:dyDescent="0.35">
      <c r="A70" s="22">
        <f>YEAR(Tabela135[[#This Row],[Vencimento]])</f>
        <v>2023</v>
      </c>
      <c r="B70" s="23" t="str">
        <f>TEXT(D70,"mmmm")</f>
        <v>maio</v>
      </c>
      <c r="C70" s="23">
        <f>DAY(Tabela135[[#This Row],[Vencimento]])</f>
        <v>5</v>
      </c>
      <c r="D70" s="24">
        <v>45051</v>
      </c>
      <c r="E70" s="24">
        <v>45049</v>
      </c>
      <c r="F70" s="21">
        <v>2500</v>
      </c>
      <c r="G70" s="21" t="s">
        <v>45</v>
      </c>
      <c r="H70" s="28" t="s">
        <v>11</v>
      </c>
      <c r="I70" s="28" t="s">
        <v>12</v>
      </c>
      <c r="J70" s="28" t="s">
        <v>13</v>
      </c>
      <c r="K70" s="27" t="str" cm="1">
        <f t="array" aca="1" ref="K7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71" spans="1:15" x14ac:dyDescent="0.35">
      <c r="A71" s="22">
        <f>YEAR(Tabela135[[#This Row],[Vencimento]])</f>
        <v>2023</v>
      </c>
      <c r="B71" s="23" t="str">
        <f>TEXT(D71,"mmmm")</f>
        <v>maio</v>
      </c>
      <c r="C71" s="23">
        <f>DAY(Tabela135[[#This Row],[Vencimento]])</f>
        <v>20</v>
      </c>
      <c r="D71" s="24">
        <v>45066</v>
      </c>
      <c r="E71" s="24">
        <v>45068</v>
      </c>
      <c r="F71" s="21">
        <v>800</v>
      </c>
      <c r="G71" s="21" t="s">
        <v>46</v>
      </c>
      <c r="H71" s="28" t="s">
        <v>47</v>
      </c>
      <c r="I71" s="28" t="s">
        <v>12</v>
      </c>
      <c r="J71" s="28" t="s">
        <v>13</v>
      </c>
      <c r="K71" s="27" t="str" cm="1">
        <f t="array" aca="1" ref="K7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72" spans="1:15" x14ac:dyDescent="0.35">
      <c r="A72" s="22">
        <f>YEAR(Tabela135[[#This Row],[Vencimento]])</f>
        <v>2023</v>
      </c>
      <c r="B72" s="23" t="str">
        <f>TEXT(D72,"mmmm")</f>
        <v>maio</v>
      </c>
      <c r="C72" s="23">
        <f>DAY(Tabela135[[#This Row],[Vencimento]])</f>
        <v>20</v>
      </c>
      <c r="D72" s="24">
        <v>45066</v>
      </c>
      <c r="E72" s="24">
        <v>45068</v>
      </c>
      <c r="F72" s="21">
        <v>1000</v>
      </c>
      <c r="G72" s="21" t="s">
        <v>48</v>
      </c>
      <c r="H72" s="28" t="s">
        <v>49</v>
      </c>
      <c r="I72" s="28" t="s">
        <v>12</v>
      </c>
      <c r="J72" s="28" t="s">
        <v>13</v>
      </c>
      <c r="K72" s="27" t="str" cm="1">
        <f t="array" aca="1" ref="K7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73" spans="1:15" x14ac:dyDescent="0.35">
      <c r="A73" s="22">
        <f>YEAR(Tabela135[[#This Row],[Vencimento]])</f>
        <v>2023</v>
      </c>
      <c r="B73" s="23" t="str">
        <f>TEXT(D73,"mmmm")</f>
        <v>maio</v>
      </c>
      <c r="C73" s="23">
        <f>DAY(Tabela135[[#This Row],[Vencimento]])</f>
        <v>20</v>
      </c>
      <c r="D73" s="24">
        <v>45066</v>
      </c>
      <c r="E73" s="24">
        <v>45066</v>
      </c>
      <c r="F73" s="21">
        <v>234</v>
      </c>
      <c r="G73" s="21" t="s">
        <v>50</v>
      </c>
      <c r="H73" s="28" t="s">
        <v>42</v>
      </c>
      <c r="I73" s="28" t="s">
        <v>15</v>
      </c>
      <c r="J73" s="28" t="s">
        <v>13</v>
      </c>
      <c r="K73" s="27" t="str" cm="1">
        <f t="array" aca="1" ref="K7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74" spans="1:15" x14ac:dyDescent="0.35">
      <c r="A74" s="32">
        <f>YEAR(Tabela135[[#This Row],[Vencimento]])</f>
        <v>2023</v>
      </c>
      <c r="B74" s="27" t="str">
        <f>TEXT(D74,"mmmm")</f>
        <v>março</v>
      </c>
      <c r="C74" s="27">
        <f>DAY(Tabela135[[#This Row],[Vencimento]])</f>
        <v>5</v>
      </c>
      <c r="D74" s="24">
        <v>44990</v>
      </c>
      <c r="E74" s="24">
        <v>44990</v>
      </c>
      <c r="F74" s="21">
        <v>150</v>
      </c>
      <c r="G74" s="21" t="s">
        <v>21</v>
      </c>
      <c r="H74" s="28" t="s">
        <v>11</v>
      </c>
      <c r="I74" s="28" t="s">
        <v>12</v>
      </c>
      <c r="J74" s="28" t="s">
        <v>13</v>
      </c>
      <c r="K74" s="28" t="str" cm="1">
        <f t="array" aca="1" ref="K7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75" spans="1:15" x14ac:dyDescent="0.35">
      <c r="A75" s="22">
        <f>YEAR(Tabela135[[#This Row],[Vencimento]])</f>
        <v>2023</v>
      </c>
      <c r="B75" s="23" t="str">
        <f>TEXT(D75,"mmmm")</f>
        <v>março</v>
      </c>
      <c r="C75" s="23">
        <f>DAY(Tabela135[[#This Row],[Vencimento]])</f>
        <v>5</v>
      </c>
      <c r="D75" s="24">
        <v>44990</v>
      </c>
      <c r="E75" s="24">
        <v>44990</v>
      </c>
      <c r="F75" s="21">
        <v>350</v>
      </c>
      <c r="G75" s="21" t="s">
        <v>10</v>
      </c>
      <c r="H75" s="28" t="s">
        <v>11</v>
      </c>
      <c r="I75" s="28" t="s">
        <v>12</v>
      </c>
      <c r="J75" s="28" t="s">
        <v>13</v>
      </c>
      <c r="K75" s="28" t="str" cm="1">
        <f t="array" aca="1" ref="K7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76" spans="1:15" x14ac:dyDescent="0.35">
      <c r="A76" s="22">
        <f>YEAR(Tabela135[[#This Row],[Vencimento]])</f>
        <v>2023</v>
      </c>
      <c r="B76" s="23" t="str">
        <f>TEXT(D76,"mmmm")</f>
        <v>março</v>
      </c>
      <c r="C76" s="23">
        <f>DAY(Tabela135[[#This Row],[Vencimento]])</f>
        <v>20</v>
      </c>
      <c r="D76" s="24">
        <v>45005</v>
      </c>
      <c r="E76" s="24">
        <v>45006</v>
      </c>
      <c r="F76" s="21">
        <v>100</v>
      </c>
      <c r="G76" s="21" t="s">
        <v>20</v>
      </c>
      <c r="H76" s="28" t="s">
        <v>11</v>
      </c>
      <c r="I76" s="28" t="s">
        <v>12</v>
      </c>
      <c r="J76" s="28" t="s">
        <v>13</v>
      </c>
      <c r="K76" s="27" t="str" cm="1">
        <f t="array" aca="1" ref="K7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77" spans="1:15" x14ac:dyDescent="0.35">
      <c r="A77" s="22">
        <f>YEAR(Tabela135[[#This Row],[Vencimento]])</f>
        <v>2023</v>
      </c>
      <c r="B77" s="23" t="str">
        <f>TEXT(D77,"mmmm")</f>
        <v>março</v>
      </c>
      <c r="C77" s="23">
        <f>DAY(Tabela135[[#This Row],[Vencimento]])</f>
        <v>20</v>
      </c>
      <c r="D77" s="24">
        <v>45005</v>
      </c>
      <c r="E77" s="24">
        <v>45006</v>
      </c>
      <c r="F77" s="21">
        <v>656</v>
      </c>
      <c r="G77" s="21" t="s">
        <v>18</v>
      </c>
      <c r="H77" s="28" t="s">
        <v>42</v>
      </c>
      <c r="I77" s="28" t="s">
        <v>15</v>
      </c>
      <c r="J77" s="28" t="s">
        <v>13</v>
      </c>
      <c r="K77" s="27" t="str" cm="1">
        <f t="array" aca="1" ref="K7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78" spans="1:15" x14ac:dyDescent="0.35">
      <c r="A78" s="22">
        <f>YEAR(Tabela135[[#This Row],[Vencimento]])</f>
        <v>2023</v>
      </c>
      <c r="B78" s="23" t="str">
        <f>TEXT(D78,"mmmm")</f>
        <v>março</v>
      </c>
      <c r="C78" s="23">
        <f>DAY(Tabela135[[#This Row],[Vencimento]])</f>
        <v>20</v>
      </c>
      <c r="D78" s="24">
        <v>45005</v>
      </c>
      <c r="E78" s="24">
        <v>45003</v>
      </c>
      <c r="F78" s="21">
        <v>100</v>
      </c>
      <c r="G78" s="21" t="s">
        <v>43</v>
      </c>
      <c r="H78" s="28" t="s">
        <v>44</v>
      </c>
      <c r="I78" s="28" t="s">
        <v>12</v>
      </c>
      <c r="J78" s="28" t="s">
        <v>13</v>
      </c>
      <c r="K78" s="27" t="str" cm="1">
        <f t="array" aca="1" ref="K7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79" spans="1:15" x14ac:dyDescent="0.35">
      <c r="A79" s="22">
        <f>YEAR(Tabela135[[#This Row],[Vencimento]])</f>
        <v>2023</v>
      </c>
      <c r="B79" s="23" t="str">
        <f>TEXT(D79,"mmmm")</f>
        <v>março</v>
      </c>
      <c r="C79" s="23">
        <f>DAY(Tabela135[[#This Row],[Vencimento]])</f>
        <v>5</v>
      </c>
      <c r="D79" s="24">
        <v>44990</v>
      </c>
      <c r="E79" s="24">
        <v>44990</v>
      </c>
      <c r="F79" s="21">
        <v>2500</v>
      </c>
      <c r="G79" s="21" t="s">
        <v>45</v>
      </c>
      <c r="H79" s="28" t="s">
        <v>11</v>
      </c>
      <c r="I79" s="28" t="s">
        <v>12</v>
      </c>
      <c r="J79" s="28" t="s">
        <v>13</v>
      </c>
      <c r="K79" s="27" t="str" cm="1">
        <f t="array" aca="1" ref="K7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80" spans="1:15" x14ac:dyDescent="0.35">
      <c r="A80" s="22">
        <f>YEAR(Tabela135[[#This Row],[Vencimento]])</f>
        <v>2023</v>
      </c>
      <c r="B80" s="23" t="str">
        <f>TEXT(D80,"mmmm")</f>
        <v>março</v>
      </c>
      <c r="C80" s="23">
        <f>DAY(Tabela135[[#This Row],[Vencimento]])</f>
        <v>20</v>
      </c>
      <c r="D80" s="24">
        <v>45005</v>
      </c>
      <c r="E80" s="24">
        <v>45003</v>
      </c>
      <c r="F80" s="21">
        <v>800</v>
      </c>
      <c r="G80" s="21" t="s">
        <v>46</v>
      </c>
      <c r="H80" s="28" t="s">
        <v>47</v>
      </c>
      <c r="I80" s="28" t="s">
        <v>12</v>
      </c>
      <c r="J80" s="28" t="s">
        <v>13</v>
      </c>
      <c r="K80" s="27" t="str" cm="1">
        <f t="array" aca="1" ref="K8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81" spans="1:11" x14ac:dyDescent="0.35">
      <c r="A81" s="23">
        <f>YEAR(Tabela135[[#This Row],[Vencimento]])</f>
        <v>2023</v>
      </c>
      <c r="B81" s="23" t="str">
        <f>TEXT(D81,"mmmm")</f>
        <v>março</v>
      </c>
      <c r="C81" s="23">
        <f>DAY(Tabela135[[#This Row],[Vencimento]])</f>
        <v>20</v>
      </c>
      <c r="D81" s="24">
        <v>45005</v>
      </c>
      <c r="E81" s="24">
        <v>45003</v>
      </c>
      <c r="F81" s="21">
        <v>1000</v>
      </c>
      <c r="G81" s="21" t="s">
        <v>48</v>
      </c>
      <c r="H81" s="28" t="s">
        <v>49</v>
      </c>
      <c r="I81" s="28" t="s">
        <v>12</v>
      </c>
      <c r="J81" s="28" t="s">
        <v>13</v>
      </c>
      <c r="K81" s="27" t="str" cm="1">
        <f t="array" aca="1" ref="K8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82" spans="1:11" x14ac:dyDescent="0.35">
      <c r="A82" s="23">
        <f>YEAR(Tabela135[[#This Row],[Vencimento]])</f>
        <v>2023</v>
      </c>
      <c r="B82" s="23" t="str">
        <f>TEXT(D82,"mmmm")</f>
        <v>março</v>
      </c>
      <c r="C82" s="23">
        <f>DAY(Tabela135[[#This Row],[Vencimento]])</f>
        <v>20</v>
      </c>
      <c r="D82" s="24">
        <v>45005</v>
      </c>
      <c r="E82" s="24">
        <v>45006</v>
      </c>
      <c r="F82" s="21">
        <v>333</v>
      </c>
      <c r="G82" s="21" t="s">
        <v>50</v>
      </c>
      <c r="H82" s="28" t="s">
        <v>42</v>
      </c>
      <c r="I82" s="28" t="s">
        <v>15</v>
      </c>
      <c r="J82" s="28" t="s">
        <v>13</v>
      </c>
      <c r="K82" s="27" t="str" cm="1">
        <f t="array" aca="1" ref="K8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83" spans="1:11" x14ac:dyDescent="0.35">
      <c r="A83" s="32">
        <f>YEAR(Tabela135[[#This Row],[Vencimento]])</f>
        <v>2023</v>
      </c>
      <c r="B83" s="28" t="str">
        <f>TEXT(D83,"mmmm")</f>
        <v>novembro</v>
      </c>
      <c r="C83" s="28">
        <f>DAY(Tabela135[[#This Row],[Vencimento]])</f>
        <v>5</v>
      </c>
      <c r="D83" s="24">
        <v>45235</v>
      </c>
      <c r="E83" s="24">
        <v>45235</v>
      </c>
      <c r="F83" s="21">
        <v>150</v>
      </c>
      <c r="G83" s="21" t="s">
        <v>21</v>
      </c>
      <c r="H83" s="28" t="s">
        <v>11</v>
      </c>
      <c r="I83" s="28" t="s">
        <v>12</v>
      </c>
      <c r="J83" s="28" t="s">
        <v>13</v>
      </c>
      <c r="K83" s="28" t="str" cm="1">
        <f t="array" aca="1" ref="K8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84" spans="1:11" x14ac:dyDescent="0.35">
      <c r="A84" s="20">
        <f>YEAR(Tabela135[[#This Row],[Vencimento]])</f>
        <v>2023</v>
      </c>
      <c r="B84" s="20" t="str">
        <f>TEXT(D84,"mmmm")</f>
        <v>novembro</v>
      </c>
      <c r="C84" s="20">
        <f>DAY(Tabela135[[#This Row],[Vencimento]])</f>
        <v>5</v>
      </c>
      <c r="D84" s="24">
        <v>45235</v>
      </c>
      <c r="E84" s="24">
        <v>45235</v>
      </c>
      <c r="F84" s="21">
        <v>350</v>
      </c>
      <c r="G84" s="21" t="s">
        <v>10</v>
      </c>
      <c r="H84" s="28" t="s">
        <v>11</v>
      </c>
      <c r="I84" s="28" t="s">
        <v>12</v>
      </c>
      <c r="J84" s="28" t="s">
        <v>13</v>
      </c>
      <c r="K84" s="28" t="str" cm="1">
        <f t="array" aca="1" ref="K8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85" spans="1:11" x14ac:dyDescent="0.35">
      <c r="A85" s="23">
        <f>YEAR(Tabela135[[#This Row],[Vencimento]])</f>
        <v>2023</v>
      </c>
      <c r="B85" s="23" t="str">
        <f>TEXT(D85,"mmmm")</f>
        <v>novembro</v>
      </c>
      <c r="C85" s="23">
        <f>DAY(Tabela135[[#This Row],[Vencimento]])</f>
        <v>20</v>
      </c>
      <c r="D85" s="24">
        <v>45250</v>
      </c>
      <c r="E85" s="24">
        <v>45250</v>
      </c>
      <c r="F85" s="21">
        <v>100</v>
      </c>
      <c r="G85" s="21" t="s">
        <v>20</v>
      </c>
      <c r="H85" s="28" t="s">
        <v>11</v>
      </c>
      <c r="I85" s="28" t="s">
        <v>12</v>
      </c>
      <c r="J85" s="28" t="s">
        <v>13</v>
      </c>
      <c r="K85" s="27" t="str" cm="1">
        <f t="array" aca="1" ref="K8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86" spans="1:11" x14ac:dyDescent="0.35">
      <c r="A86" s="23">
        <f>YEAR(Tabela135[[#This Row],[Vencimento]])</f>
        <v>2023</v>
      </c>
      <c r="B86" s="23" t="str">
        <f>TEXT(D86,"mmmm")</f>
        <v>novembro</v>
      </c>
      <c r="C86" s="23">
        <f>DAY(Tabela135[[#This Row],[Vencimento]])</f>
        <v>20</v>
      </c>
      <c r="D86" s="24">
        <v>45250</v>
      </c>
      <c r="E86" s="24">
        <v>45250</v>
      </c>
      <c r="F86" s="21">
        <v>455</v>
      </c>
      <c r="G86" s="21" t="s">
        <v>18</v>
      </c>
      <c r="H86" s="28" t="s">
        <v>42</v>
      </c>
      <c r="I86" s="28" t="s">
        <v>15</v>
      </c>
      <c r="J86" s="28" t="s">
        <v>13</v>
      </c>
      <c r="K86" s="27" t="str" cm="1">
        <f t="array" aca="1" ref="K8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87" spans="1:11" x14ac:dyDescent="0.35">
      <c r="A87" s="23">
        <f>YEAR(Tabela135[[#This Row],[Vencimento]])</f>
        <v>2023</v>
      </c>
      <c r="B87" s="23" t="str">
        <f>TEXT(D87,"mmmm")</f>
        <v>novembro</v>
      </c>
      <c r="C87" s="23">
        <f>DAY(Tabela135[[#This Row],[Vencimento]])</f>
        <v>20</v>
      </c>
      <c r="D87" s="24">
        <v>45250</v>
      </c>
      <c r="E87" s="24">
        <v>45250</v>
      </c>
      <c r="F87" s="21">
        <v>100</v>
      </c>
      <c r="G87" s="21" t="s">
        <v>43</v>
      </c>
      <c r="H87" s="28" t="s">
        <v>44</v>
      </c>
      <c r="I87" s="28" t="s">
        <v>12</v>
      </c>
      <c r="J87" s="28" t="s">
        <v>13</v>
      </c>
      <c r="K87" s="27" t="str" cm="1">
        <f t="array" aca="1" ref="K8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88" spans="1:11" x14ac:dyDescent="0.35">
      <c r="A88" s="23">
        <f>YEAR(Tabela135[[#This Row],[Vencimento]])</f>
        <v>2023</v>
      </c>
      <c r="B88" s="23" t="str">
        <f>TEXT(D88,"mmmm")</f>
        <v>novembro</v>
      </c>
      <c r="C88" s="23">
        <f>DAY(Tabela135[[#This Row],[Vencimento]])</f>
        <v>5</v>
      </c>
      <c r="D88" s="24">
        <v>45235</v>
      </c>
      <c r="E88" s="24">
        <v>45235</v>
      </c>
      <c r="F88" s="21">
        <v>2500</v>
      </c>
      <c r="G88" s="21" t="s">
        <v>45</v>
      </c>
      <c r="H88" s="28" t="s">
        <v>11</v>
      </c>
      <c r="I88" s="28" t="s">
        <v>12</v>
      </c>
      <c r="J88" s="28" t="s">
        <v>13</v>
      </c>
      <c r="K88" s="27" t="str" cm="1">
        <f t="array" aca="1" ref="K8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89" spans="1:11" x14ac:dyDescent="0.35">
      <c r="A89" s="23">
        <f>YEAR(Tabela135[[#This Row],[Vencimento]])</f>
        <v>2023</v>
      </c>
      <c r="B89" s="23" t="str">
        <f>TEXT(D89,"mmmm")</f>
        <v>novembro</v>
      </c>
      <c r="C89" s="23">
        <f>DAY(Tabela135[[#This Row],[Vencimento]])</f>
        <v>20</v>
      </c>
      <c r="D89" s="24">
        <v>45250</v>
      </c>
      <c r="E89" s="24">
        <v>45250</v>
      </c>
      <c r="F89" s="21">
        <v>800</v>
      </c>
      <c r="G89" s="21" t="s">
        <v>46</v>
      </c>
      <c r="H89" s="28" t="s">
        <v>47</v>
      </c>
      <c r="I89" s="28" t="s">
        <v>12</v>
      </c>
      <c r="J89" s="28" t="s">
        <v>13</v>
      </c>
      <c r="K89" s="27" t="str" cm="1">
        <f t="array" aca="1" ref="K8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0" spans="1:11" x14ac:dyDescent="0.35">
      <c r="A90" s="23">
        <f>YEAR(Tabela135[[#This Row],[Vencimento]])</f>
        <v>2023</v>
      </c>
      <c r="B90" s="23" t="str">
        <f>TEXT(D90,"mmmm")</f>
        <v>novembro</v>
      </c>
      <c r="C90" s="23">
        <f>DAY(Tabela135[[#This Row],[Vencimento]])</f>
        <v>20</v>
      </c>
      <c r="D90" s="24">
        <v>45250</v>
      </c>
      <c r="E90" s="24">
        <v>45250</v>
      </c>
      <c r="F90" s="21">
        <v>1000</v>
      </c>
      <c r="G90" s="21" t="s">
        <v>48</v>
      </c>
      <c r="H90" s="28" t="s">
        <v>49</v>
      </c>
      <c r="I90" s="28" t="s">
        <v>12</v>
      </c>
      <c r="J90" s="28" t="s">
        <v>13</v>
      </c>
      <c r="K90" s="27" t="str" cm="1">
        <f t="array" aca="1" ref="K9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1" spans="1:11" x14ac:dyDescent="0.35">
      <c r="A91" s="23">
        <f>YEAR(Tabela135[[#This Row],[Vencimento]])</f>
        <v>2023</v>
      </c>
      <c r="B91" s="23" t="str">
        <f>TEXT(D91,"mmmm")</f>
        <v>novembro</v>
      </c>
      <c r="C91" s="23">
        <f>DAY(Tabela135[[#This Row],[Vencimento]])</f>
        <v>20</v>
      </c>
      <c r="D91" s="24">
        <v>45250</v>
      </c>
      <c r="E91" s="24">
        <v>45250</v>
      </c>
      <c r="F91" s="21">
        <v>245</v>
      </c>
      <c r="G91" s="21" t="s">
        <v>50</v>
      </c>
      <c r="H91" s="28" t="s">
        <v>42</v>
      </c>
      <c r="I91" s="28" t="s">
        <v>15</v>
      </c>
      <c r="J91" s="28" t="s">
        <v>13</v>
      </c>
      <c r="K91" s="27" t="str" cm="1">
        <f t="array" aca="1" ref="K9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2" spans="1:11" x14ac:dyDescent="0.35">
      <c r="A92" s="28">
        <f>YEAR(Tabela135[[#This Row],[Vencimento]])</f>
        <v>2023</v>
      </c>
      <c r="B92" s="27" t="str">
        <f>TEXT(D92,"mmmm")</f>
        <v>outubro</v>
      </c>
      <c r="C92" s="27">
        <f>DAY(Tabela135[[#This Row],[Vencimento]])</f>
        <v>5</v>
      </c>
      <c r="D92" s="24">
        <v>45204</v>
      </c>
      <c r="E92" s="24">
        <v>45204</v>
      </c>
      <c r="F92" s="21">
        <v>150</v>
      </c>
      <c r="G92" s="21" t="s">
        <v>21</v>
      </c>
      <c r="H92" s="28" t="s">
        <v>11</v>
      </c>
      <c r="I92" s="28" t="s">
        <v>12</v>
      </c>
      <c r="J92" s="28" t="s">
        <v>13</v>
      </c>
      <c r="K92" s="28" t="str" cm="1">
        <f t="array" aca="1" ref="K9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3" spans="1:11" x14ac:dyDescent="0.35">
      <c r="A93" s="20">
        <f>YEAR(Tabela135[[#This Row],[Vencimento]])</f>
        <v>2023</v>
      </c>
      <c r="B93" s="20" t="str">
        <f>TEXT(D93,"mmmm")</f>
        <v>outubro</v>
      </c>
      <c r="C93" s="20">
        <f>DAY(Tabela135[[#This Row],[Vencimento]])</f>
        <v>5</v>
      </c>
      <c r="D93" s="24">
        <v>45204</v>
      </c>
      <c r="E93" s="24">
        <v>45204</v>
      </c>
      <c r="F93" s="21">
        <v>350</v>
      </c>
      <c r="G93" s="21" t="s">
        <v>10</v>
      </c>
      <c r="H93" s="28" t="s">
        <v>11</v>
      </c>
      <c r="I93" s="28" t="s">
        <v>12</v>
      </c>
      <c r="J93" s="28" t="s">
        <v>13</v>
      </c>
      <c r="K93" s="28" t="str" cm="1">
        <f t="array" aca="1" ref="K9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4" spans="1:11" x14ac:dyDescent="0.35">
      <c r="A94" s="23">
        <f>YEAR(Tabela135[[#This Row],[Vencimento]])</f>
        <v>2023</v>
      </c>
      <c r="B94" s="23" t="str">
        <f>TEXT(D94,"mmmm")</f>
        <v>outubro</v>
      </c>
      <c r="C94" s="23">
        <f>DAY(Tabela135[[#This Row],[Vencimento]])</f>
        <v>20</v>
      </c>
      <c r="D94" s="24">
        <v>45219</v>
      </c>
      <c r="E94" s="24">
        <v>45219</v>
      </c>
      <c r="F94" s="21">
        <v>100</v>
      </c>
      <c r="G94" s="21" t="s">
        <v>20</v>
      </c>
      <c r="H94" s="28" t="s">
        <v>11</v>
      </c>
      <c r="I94" s="28" t="s">
        <v>12</v>
      </c>
      <c r="J94" s="28" t="s">
        <v>13</v>
      </c>
      <c r="K94" s="27" t="str" cm="1">
        <f t="array" aca="1" ref="K9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5" spans="1:11" x14ac:dyDescent="0.35">
      <c r="A95" s="23">
        <f>YEAR(Tabela135[[#This Row],[Vencimento]])</f>
        <v>2023</v>
      </c>
      <c r="B95" s="23" t="str">
        <f>TEXT(D95,"mmmm")</f>
        <v>outubro</v>
      </c>
      <c r="C95" s="23">
        <f>DAY(Tabela135[[#This Row],[Vencimento]])</f>
        <v>20</v>
      </c>
      <c r="D95" s="24">
        <v>45219</v>
      </c>
      <c r="E95" s="24">
        <v>45219</v>
      </c>
      <c r="F95" s="21">
        <v>877</v>
      </c>
      <c r="G95" s="21" t="s">
        <v>18</v>
      </c>
      <c r="H95" s="28" t="s">
        <v>42</v>
      </c>
      <c r="I95" s="28" t="s">
        <v>15</v>
      </c>
      <c r="J95" s="28" t="s">
        <v>13</v>
      </c>
      <c r="K95" s="27" t="str" cm="1">
        <f t="array" aca="1" ref="K9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6" spans="1:11" x14ac:dyDescent="0.35">
      <c r="A96" s="23">
        <f>YEAR(Tabela135[[#This Row],[Vencimento]])</f>
        <v>2023</v>
      </c>
      <c r="B96" s="23" t="str">
        <f>TEXT(D96,"mmmm")</f>
        <v>outubro</v>
      </c>
      <c r="C96" s="23">
        <f>DAY(Tabela135[[#This Row],[Vencimento]])</f>
        <v>20</v>
      </c>
      <c r="D96" s="24">
        <v>45219</v>
      </c>
      <c r="E96" s="24">
        <v>45219</v>
      </c>
      <c r="F96" s="21">
        <v>100</v>
      </c>
      <c r="G96" s="21" t="s">
        <v>43</v>
      </c>
      <c r="H96" s="28" t="s">
        <v>44</v>
      </c>
      <c r="I96" s="28" t="s">
        <v>12</v>
      </c>
      <c r="J96" s="28" t="s">
        <v>13</v>
      </c>
      <c r="K96" s="27" t="str" cm="1">
        <f t="array" aca="1" ref="K9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7" spans="1:11" x14ac:dyDescent="0.35">
      <c r="A97" s="23">
        <f>YEAR(Tabela135[[#This Row],[Vencimento]])</f>
        <v>2023</v>
      </c>
      <c r="B97" s="23" t="str">
        <f>TEXT(D97,"mmmm")</f>
        <v>outubro</v>
      </c>
      <c r="C97" s="23">
        <f>DAY(Tabela135[[#This Row],[Vencimento]])</f>
        <v>5</v>
      </c>
      <c r="D97" s="24">
        <v>45204</v>
      </c>
      <c r="E97" s="24">
        <v>45204</v>
      </c>
      <c r="F97" s="21">
        <v>2500</v>
      </c>
      <c r="G97" s="21" t="s">
        <v>45</v>
      </c>
      <c r="H97" s="28" t="s">
        <v>11</v>
      </c>
      <c r="I97" s="28" t="s">
        <v>12</v>
      </c>
      <c r="J97" s="28" t="s">
        <v>13</v>
      </c>
      <c r="K97" s="38" t="str" cm="1">
        <f t="array" aca="1" ref="K9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8" spans="1:11" x14ac:dyDescent="0.35">
      <c r="A98" s="23">
        <f>YEAR(Tabela135[[#This Row],[Vencimento]])</f>
        <v>2023</v>
      </c>
      <c r="B98" s="23" t="str">
        <f>TEXT(D98,"mmmm")</f>
        <v>outubro</v>
      </c>
      <c r="C98" s="23">
        <f>DAY(Tabela135[[#This Row],[Vencimento]])</f>
        <v>20</v>
      </c>
      <c r="D98" s="24">
        <v>45219</v>
      </c>
      <c r="E98" s="33">
        <v>45219</v>
      </c>
      <c r="F98" s="34">
        <v>800</v>
      </c>
      <c r="G98" s="35" t="s">
        <v>46</v>
      </c>
      <c r="H98" s="32" t="s">
        <v>47</v>
      </c>
      <c r="I98" s="32" t="s">
        <v>12</v>
      </c>
      <c r="J98" s="28" t="s">
        <v>13</v>
      </c>
      <c r="K98" s="27" t="str" cm="1">
        <f t="array" aca="1" ref="K9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99" spans="1:11" x14ac:dyDescent="0.35">
      <c r="A99" s="23">
        <f>YEAR(Tabela135[[#This Row],[Vencimento]])</f>
        <v>2023</v>
      </c>
      <c r="B99" s="23" t="str">
        <f>TEXT(D99,"mmmm")</f>
        <v>outubro</v>
      </c>
      <c r="C99" s="23">
        <f>DAY(Tabela135[[#This Row],[Vencimento]])</f>
        <v>20</v>
      </c>
      <c r="D99" s="24">
        <v>45219</v>
      </c>
      <c r="E99" s="33">
        <v>45219</v>
      </c>
      <c r="F99" s="34">
        <v>1000</v>
      </c>
      <c r="G99" s="35" t="s">
        <v>48</v>
      </c>
      <c r="H99" s="32" t="s">
        <v>49</v>
      </c>
      <c r="I99" s="32" t="s">
        <v>12</v>
      </c>
      <c r="J99" s="28" t="s">
        <v>13</v>
      </c>
      <c r="K99" s="27" t="str" cm="1">
        <f t="array" aca="1" ref="K9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0" spans="1:11" x14ac:dyDescent="0.35">
      <c r="A100" s="22">
        <f>YEAR(Tabela135[[#This Row],[Vencimento]])</f>
        <v>2023</v>
      </c>
      <c r="B100" s="23" t="str">
        <f>TEXT(D100,"mmmm")</f>
        <v>outubro</v>
      </c>
      <c r="C100" s="23">
        <f>DAY(Tabela135[[#This Row],[Vencimento]])</f>
        <v>20</v>
      </c>
      <c r="D100" s="24">
        <v>45219</v>
      </c>
      <c r="E100" s="33">
        <v>45219</v>
      </c>
      <c r="F100" s="34">
        <v>453</v>
      </c>
      <c r="G100" s="35" t="s">
        <v>50</v>
      </c>
      <c r="H100" s="32" t="s">
        <v>42</v>
      </c>
      <c r="I100" s="32" t="s">
        <v>15</v>
      </c>
      <c r="J100" s="28" t="s">
        <v>13</v>
      </c>
      <c r="K100" s="27" t="str" cm="1">
        <f t="array" aca="1" ref="K10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1" spans="1:11" x14ac:dyDescent="0.35">
      <c r="A101" s="32">
        <f>YEAR(Tabela135[[#This Row],[Vencimento]])</f>
        <v>2023</v>
      </c>
      <c r="B101" s="27" t="str">
        <f>TEXT(D101,"mmmm")</f>
        <v>setembro</v>
      </c>
      <c r="C101" s="27">
        <f>DAY(Tabela135[[#This Row],[Vencimento]])</f>
        <v>5</v>
      </c>
      <c r="D101" s="24">
        <v>45174</v>
      </c>
      <c r="E101" s="33">
        <v>45174</v>
      </c>
      <c r="F101" s="34">
        <v>150</v>
      </c>
      <c r="G101" s="35" t="s">
        <v>21</v>
      </c>
      <c r="H101" s="32" t="s">
        <v>11</v>
      </c>
      <c r="I101" s="32" t="s">
        <v>12</v>
      </c>
      <c r="J101" s="28" t="s">
        <v>13</v>
      </c>
      <c r="K101" s="28" t="str" cm="1">
        <f t="array" aca="1" ref="K10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2" spans="1:11" x14ac:dyDescent="0.35">
      <c r="A102" s="19">
        <f>YEAR(Tabela135[[#This Row],[Vencimento]])</f>
        <v>2023</v>
      </c>
      <c r="B102" s="20" t="str">
        <f>TEXT(D102,"mmmm")</f>
        <v>setembro</v>
      </c>
      <c r="C102" s="20">
        <f>DAY(Tabela135[[#This Row],[Vencimento]])</f>
        <v>5</v>
      </c>
      <c r="D102" s="24">
        <v>45174</v>
      </c>
      <c r="E102" s="33">
        <v>45174</v>
      </c>
      <c r="F102" s="34">
        <v>350</v>
      </c>
      <c r="G102" s="35" t="s">
        <v>10</v>
      </c>
      <c r="H102" s="32" t="s">
        <v>11</v>
      </c>
      <c r="I102" s="32" t="s">
        <v>12</v>
      </c>
      <c r="J102" s="28" t="s">
        <v>13</v>
      </c>
      <c r="K102" s="28" t="str" cm="1">
        <f t="array" aca="1" ref="K10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3" spans="1:11" x14ac:dyDescent="0.35">
      <c r="A103" s="22">
        <f>YEAR(Tabela135[[#This Row],[Vencimento]])</f>
        <v>2023</v>
      </c>
      <c r="B103" s="23" t="str">
        <f>TEXT(D103,"mmmm")</f>
        <v>setembro</v>
      </c>
      <c r="C103" s="23">
        <f>DAY(Tabela135[[#This Row],[Vencimento]])</f>
        <v>20</v>
      </c>
      <c r="D103" s="24">
        <v>45189</v>
      </c>
      <c r="E103" s="33">
        <v>45189</v>
      </c>
      <c r="F103" s="34">
        <v>100</v>
      </c>
      <c r="G103" s="35" t="s">
        <v>20</v>
      </c>
      <c r="H103" s="32" t="s">
        <v>11</v>
      </c>
      <c r="I103" s="32" t="s">
        <v>12</v>
      </c>
      <c r="J103" s="28" t="s">
        <v>13</v>
      </c>
      <c r="K103" s="27" t="str" cm="1">
        <f t="array" aca="1" ref="K10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4" spans="1:11" x14ac:dyDescent="0.35">
      <c r="A104" s="22">
        <f>YEAR(Tabela135[[#This Row],[Vencimento]])</f>
        <v>2023</v>
      </c>
      <c r="B104" s="23" t="str">
        <f>TEXT(D104,"mmmm")</f>
        <v>setembro</v>
      </c>
      <c r="C104" s="23">
        <f>DAY(Tabela135[[#This Row],[Vencimento]])</f>
        <v>20</v>
      </c>
      <c r="D104" s="24">
        <v>45189</v>
      </c>
      <c r="E104" s="33">
        <v>45189</v>
      </c>
      <c r="F104" s="34">
        <v>987</v>
      </c>
      <c r="G104" s="35" t="s">
        <v>18</v>
      </c>
      <c r="H104" s="32" t="s">
        <v>42</v>
      </c>
      <c r="I104" s="32" t="s">
        <v>15</v>
      </c>
      <c r="J104" s="28" t="s">
        <v>13</v>
      </c>
      <c r="K104" s="27" t="str" cm="1">
        <f t="array" aca="1" ref="K10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5" spans="1:11" x14ac:dyDescent="0.35">
      <c r="A105" s="22">
        <f>YEAR(Tabela135[[#This Row],[Vencimento]])</f>
        <v>2023</v>
      </c>
      <c r="B105" s="23" t="str">
        <f>TEXT(D105,"mmmm")</f>
        <v>setembro</v>
      </c>
      <c r="C105" s="23">
        <f>DAY(Tabela135[[#This Row],[Vencimento]])</f>
        <v>20</v>
      </c>
      <c r="D105" s="24">
        <v>45189</v>
      </c>
      <c r="E105" s="33">
        <v>45189</v>
      </c>
      <c r="F105" s="34">
        <v>100</v>
      </c>
      <c r="G105" s="35" t="s">
        <v>43</v>
      </c>
      <c r="H105" s="32" t="s">
        <v>44</v>
      </c>
      <c r="I105" s="32" t="s">
        <v>12</v>
      </c>
      <c r="J105" s="28" t="s">
        <v>13</v>
      </c>
      <c r="K105" s="27" t="str" cm="1">
        <f t="array" aca="1" ref="K10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6" spans="1:11" x14ac:dyDescent="0.35">
      <c r="A106" s="22">
        <f>YEAR(Tabela135[[#This Row],[Vencimento]])</f>
        <v>2023</v>
      </c>
      <c r="B106" s="23" t="str">
        <f>TEXT(D106,"mmmm")</f>
        <v>setembro</v>
      </c>
      <c r="C106" s="23">
        <f>DAY(Tabela135[[#This Row],[Vencimento]])</f>
        <v>5</v>
      </c>
      <c r="D106" s="24">
        <v>45174</v>
      </c>
      <c r="E106" s="33">
        <v>45174</v>
      </c>
      <c r="F106" s="34">
        <v>2500</v>
      </c>
      <c r="G106" s="35" t="s">
        <v>45</v>
      </c>
      <c r="H106" s="32" t="s">
        <v>11</v>
      </c>
      <c r="I106" s="32" t="s">
        <v>12</v>
      </c>
      <c r="J106" s="28" t="s">
        <v>13</v>
      </c>
      <c r="K106" s="27" t="str" cm="1">
        <f t="array" aca="1" ref="K10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7" spans="1:11" x14ac:dyDescent="0.35">
      <c r="A107" s="22">
        <f>YEAR(Tabela135[[#This Row],[Vencimento]])</f>
        <v>2023</v>
      </c>
      <c r="B107" s="23" t="str">
        <f>TEXT(D107,"mmmm")</f>
        <v>setembro</v>
      </c>
      <c r="C107" s="23">
        <f>DAY(Tabela135[[#This Row],[Vencimento]])</f>
        <v>20</v>
      </c>
      <c r="D107" s="24">
        <v>45189</v>
      </c>
      <c r="E107" s="33">
        <v>45189</v>
      </c>
      <c r="F107" s="34">
        <v>800</v>
      </c>
      <c r="G107" s="35" t="s">
        <v>46</v>
      </c>
      <c r="H107" s="32" t="s">
        <v>47</v>
      </c>
      <c r="I107" s="32" t="s">
        <v>12</v>
      </c>
      <c r="J107" s="28" t="s">
        <v>13</v>
      </c>
      <c r="K107" s="27" t="str" cm="1">
        <f t="array" aca="1" ref="K10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8" spans="1:11" x14ac:dyDescent="0.35">
      <c r="A108" s="22">
        <f>YEAR(Tabela135[[#This Row],[Vencimento]])</f>
        <v>2023</v>
      </c>
      <c r="B108" s="23" t="str">
        <f>TEXT(D108,"mmmm")</f>
        <v>setembro</v>
      </c>
      <c r="C108" s="23">
        <f>DAY(Tabela135[[#This Row],[Vencimento]])</f>
        <v>20</v>
      </c>
      <c r="D108" s="24">
        <v>45189</v>
      </c>
      <c r="E108" s="33">
        <v>45189</v>
      </c>
      <c r="F108" s="34">
        <v>1000</v>
      </c>
      <c r="G108" s="35" t="s">
        <v>48</v>
      </c>
      <c r="H108" s="32" t="s">
        <v>49</v>
      </c>
      <c r="I108" s="32" t="s">
        <v>12</v>
      </c>
      <c r="J108" s="28" t="s">
        <v>13</v>
      </c>
      <c r="K108" s="27" t="str" cm="1">
        <f t="array" aca="1" ref="K10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09" spans="1:11" x14ac:dyDescent="0.35">
      <c r="A109" s="22">
        <f>YEAR(Tabela135[[#This Row],[Vencimento]])</f>
        <v>2023</v>
      </c>
      <c r="B109" s="23" t="str">
        <f>TEXT(D109,"mmmm")</f>
        <v>setembro</v>
      </c>
      <c r="C109" s="23">
        <f>DAY(Tabela135[[#This Row],[Vencimento]])</f>
        <v>20</v>
      </c>
      <c r="D109" s="24">
        <v>45189</v>
      </c>
      <c r="E109" s="33">
        <v>45189</v>
      </c>
      <c r="F109" s="34">
        <v>124</v>
      </c>
      <c r="G109" s="35" t="s">
        <v>50</v>
      </c>
      <c r="H109" s="32" t="s">
        <v>42</v>
      </c>
      <c r="I109" s="32" t="s">
        <v>15</v>
      </c>
      <c r="J109" s="28" t="s">
        <v>13</v>
      </c>
      <c r="K109" s="27" t="str" cm="1">
        <f t="array" aca="1" ref="K10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0" spans="1:11" x14ac:dyDescent="0.35">
      <c r="A110" s="32">
        <f>YEAR(Tabela135[[#This Row],[Vencimento]])</f>
        <v>2024</v>
      </c>
      <c r="B110" s="28" t="str">
        <f>TEXT(D110,"mmmm")</f>
        <v>abril</v>
      </c>
      <c r="C110" s="28">
        <f>DAY(Tabela135[[#This Row],[Vencimento]])</f>
        <v>5</v>
      </c>
      <c r="D110" s="24">
        <v>45387</v>
      </c>
      <c r="E110" s="33">
        <v>45387</v>
      </c>
      <c r="F110" s="34">
        <v>160</v>
      </c>
      <c r="G110" s="35" t="s">
        <v>21</v>
      </c>
      <c r="H110" s="32" t="s">
        <v>11</v>
      </c>
      <c r="I110" s="32" t="s">
        <v>12</v>
      </c>
      <c r="J110" s="28" t="s">
        <v>13</v>
      </c>
      <c r="K110" s="28" t="str" cm="1">
        <f t="array" aca="1" ref="K11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1" spans="1:11" x14ac:dyDescent="0.35">
      <c r="A111" s="19">
        <f>YEAR(Tabela135[[#This Row],[Vencimento]])</f>
        <v>2024</v>
      </c>
      <c r="B111" s="20" t="str">
        <f>TEXT(D111,"mmmm")</f>
        <v>abril</v>
      </c>
      <c r="C111" s="20">
        <f>DAY(Tabela135[[#This Row],[Vencimento]])</f>
        <v>5</v>
      </c>
      <c r="D111" s="24">
        <v>45387</v>
      </c>
      <c r="E111" s="33">
        <v>45387</v>
      </c>
      <c r="F111" s="34">
        <v>350</v>
      </c>
      <c r="G111" s="35" t="s">
        <v>10</v>
      </c>
      <c r="H111" s="32" t="s">
        <v>11</v>
      </c>
      <c r="I111" s="32" t="s">
        <v>12</v>
      </c>
      <c r="J111" s="28" t="s">
        <v>13</v>
      </c>
      <c r="K111" s="28" t="str" cm="1">
        <f t="array" aca="1" ref="K11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2" spans="1:11" x14ac:dyDescent="0.35">
      <c r="A112" s="22">
        <f>YEAR(Tabela135[[#This Row],[Vencimento]])</f>
        <v>2024</v>
      </c>
      <c r="B112" s="23" t="str">
        <f>TEXT(D112,"mmmm")</f>
        <v>abril</v>
      </c>
      <c r="C112" s="23">
        <f>DAY(Tabela135[[#This Row],[Vencimento]])</f>
        <v>20</v>
      </c>
      <c r="D112" s="24">
        <v>45402</v>
      </c>
      <c r="E112" s="33">
        <v>45402</v>
      </c>
      <c r="F112" s="34">
        <v>100</v>
      </c>
      <c r="G112" s="35" t="s">
        <v>20</v>
      </c>
      <c r="H112" s="32" t="s">
        <v>11</v>
      </c>
      <c r="I112" s="32" t="s">
        <v>12</v>
      </c>
      <c r="J112" s="28" t="s">
        <v>13</v>
      </c>
      <c r="K112" s="27" t="str" cm="1">
        <f t="array" aca="1" ref="K11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3" spans="1:11" x14ac:dyDescent="0.35">
      <c r="A113" s="22">
        <f>YEAR(Tabela135[[#This Row],[Vencimento]])</f>
        <v>2024</v>
      </c>
      <c r="B113" s="23" t="str">
        <f>TEXT(D113,"mmmm")</f>
        <v>abril</v>
      </c>
      <c r="C113" s="23">
        <f>DAY(Tabela135[[#This Row],[Vencimento]])</f>
        <v>20</v>
      </c>
      <c r="D113" s="24">
        <v>45402</v>
      </c>
      <c r="E113" s="33">
        <v>45402</v>
      </c>
      <c r="F113" s="34">
        <v>987</v>
      </c>
      <c r="G113" s="35" t="s">
        <v>18</v>
      </c>
      <c r="H113" s="32" t="s">
        <v>42</v>
      </c>
      <c r="I113" s="32" t="s">
        <v>15</v>
      </c>
      <c r="J113" s="28" t="s">
        <v>13</v>
      </c>
      <c r="K113" s="27" t="str" cm="1">
        <f t="array" aca="1" ref="K11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4" spans="1:11" x14ac:dyDescent="0.35">
      <c r="A114" s="22">
        <f>YEAR(Tabela135[[#This Row],[Vencimento]])</f>
        <v>2024</v>
      </c>
      <c r="B114" s="23" t="str">
        <f>TEXT(D114,"mmmm")</f>
        <v>abril</v>
      </c>
      <c r="C114" s="23">
        <f>DAY(Tabela135[[#This Row],[Vencimento]])</f>
        <v>20</v>
      </c>
      <c r="D114" s="24">
        <v>45402</v>
      </c>
      <c r="E114" s="33">
        <v>45402</v>
      </c>
      <c r="F114" s="34">
        <v>100</v>
      </c>
      <c r="G114" s="35" t="s">
        <v>43</v>
      </c>
      <c r="H114" s="32" t="s">
        <v>44</v>
      </c>
      <c r="I114" s="32" t="s">
        <v>12</v>
      </c>
      <c r="J114" s="28" t="s">
        <v>13</v>
      </c>
      <c r="K114" s="27" t="str" cm="1">
        <f t="array" aca="1" ref="K11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5" spans="1:11" x14ac:dyDescent="0.35">
      <c r="A115" s="22">
        <f>YEAR(Tabela135[[#This Row],[Vencimento]])</f>
        <v>2024</v>
      </c>
      <c r="B115" s="23" t="str">
        <f>TEXT(D115,"mmmm")</f>
        <v>abril</v>
      </c>
      <c r="C115" s="23">
        <f>DAY(Tabela135[[#This Row],[Vencimento]])</f>
        <v>5</v>
      </c>
      <c r="D115" s="24">
        <v>45387</v>
      </c>
      <c r="E115" s="33">
        <v>45387</v>
      </c>
      <c r="F115" s="34">
        <v>2500</v>
      </c>
      <c r="G115" s="35" t="s">
        <v>45</v>
      </c>
      <c r="H115" s="32" t="s">
        <v>11</v>
      </c>
      <c r="I115" s="32" t="s">
        <v>12</v>
      </c>
      <c r="J115" s="28" t="s">
        <v>13</v>
      </c>
      <c r="K115" s="27" t="str" cm="1">
        <f t="array" aca="1" ref="K11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6" spans="1:11" x14ac:dyDescent="0.35">
      <c r="A116" s="22">
        <f>YEAR(Tabela135[[#This Row],[Vencimento]])</f>
        <v>2024</v>
      </c>
      <c r="B116" s="23" t="str">
        <f>TEXT(D116,"mmmm")</f>
        <v>abril</v>
      </c>
      <c r="C116" s="23">
        <f>DAY(Tabela135[[#This Row],[Vencimento]])</f>
        <v>20</v>
      </c>
      <c r="D116" s="24">
        <v>45402</v>
      </c>
      <c r="E116" s="33">
        <v>45402</v>
      </c>
      <c r="F116" s="34">
        <v>800</v>
      </c>
      <c r="G116" s="35" t="s">
        <v>46</v>
      </c>
      <c r="H116" s="32" t="s">
        <v>47</v>
      </c>
      <c r="I116" s="32" t="s">
        <v>12</v>
      </c>
      <c r="J116" s="28" t="s">
        <v>13</v>
      </c>
      <c r="K116" s="27" t="str" cm="1">
        <f t="array" aca="1" ref="K11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7" spans="1:11" x14ac:dyDescent="0.35">
      <c r="A117" s="22">
        <f>YEAR(Tabela135[[#This Row],[Vencimento]])</f>
        <v>2024</v>
      </c>
      <c r="B117" s="23" t="str">
        <f>TEXT(D117,"mmmm")</f>
        <v>abril</v>
      </c>
      <c r="C117" s="23">
        <f>DAY(Tabela135[[#This Row],[Vencimento]])</f>
        <v>20</v>
      </c>
      <c r="D117" s="24">
        <v>45402</v>
      </c>
      <c r="E117" s="33">
        <v>45402</v>
      </c>
      <c r="F117" s="34">
        <v>1000</v>
      </c>
      <c r="G117" s="35" t="s">
        <v>48</v>
      </c>
      <c r="H117" s="32" t="s">
        <v>49</v>
      </c>
      <c r="I117" s="32" t="s">
        <v>12</v>
      </c>
      <c r="J117" s="28" t="s">
        <v>13</v>
      </c>
      <c r="K117" s="27" t="str" cm="1">
        <f t="array" aca="1" ref="K11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8" spans="1:11" x14ac:dyDescent="0.35">
      <c r="A118" s="22">
        <f>YEAR(Tabela135[[#This Row],[Vencimento]])</f>
        <v>2024</v>
      </c>
      <c r="B118" s="23" t="str">
        <f>TEXT(D118,"mmmm")</f>
        <v>abril</v>
      </c>
      <c r="C118" s="23">
        <f>DAY(Tabela135[[#This Row],[Vencimento]])</f>
        <v>20</v>
      </c>
      <c r="D118" s="24">
        <v>45402</v>
      </c>
      <c r="E118" s="33">
        <v>45402</v>
      </c>
      <c r="F118" s="34">
        <v>121</v>
      </c>
      <c r="G118" s="35" t="s">
        <v>50</v>
      </c>
      <c r="H118" s="32" t="s">
        <v>42</v>
      </c>
      <c r="I118" s="32" t="s">
        <v>15</v>
      </c>
      <c r="J118" s="28" t="s">
        <v>13</v>
      </c>
      <c r="K118" s="27" t="str" cm="1">
        <f t="array" aca="1" ref="K11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19" spans="1:11" x14ac:dyDescent="0.35">
      <c r="A119" s="32">
        <f>YEAR(Tabela135[[#This Row],[Vencimento]])</f>
        <v>2024</v>
      </c>
      <c r="B119" s="28" t="str">
        <f>TEXT(D119,"mmmm")</f>
        <v>agosto</v>
      </c>
      <c r="C119" s="28">
        <f>DAY(Tabela135[[#This Row],[Vencimento]])</f>
        <v>5</v>
      </c>
      <c r="D119" s="24">
        <v>45509</v>
      </c>
      <c r="E119" s="33">
        <v>45509</v>
      </c>
      <c r="F119" s="34">
        <v>160</v>
      </c>
      <c r="G119" s="35" t="s">
        <v>21</v>
      </c>
      <c r="H119" s="32" t="s">
        <v>11</v>
      </c>
      <c r="I119" s="32" t="s">
        <v>12</v>
      </c>
      <c r="J119" s="28" t="s">
        <v>13</v>
      </c>
      <c r="K119" s="28" t="str" cm="1">
        <f t="array" aca="1" ref="K11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0" spans="1:11" x14ac:dyDescent="0.35">
      <c r="A120" s="19">
        <f>YEAR(Tabela135[[#This Row],[Vencimento]])</f>
        <v>2024</v>
      </c>
      <c r="B120" s="20" t="str">
        <f>TEXT(D120,"mmmm")</f>
        <v>agosto</v>
      </c>
      <c r="C120" s="20">
        <f>DAY(Tabela135[[#This Row],[Vencimento]])</f>
        <v>5</v>
      </c>
      <c r="D120" s="24">
        <v>45509</v>
      </c>
      <c r="E120" s="33">
        <v>45509</v>
      </c>
      <c r="F120" s="34">
        <v>350</v>
      </c>
      <c r="G120" s="35" t="s">
        <v>10</v>
      </c>
      <c r="H120" s="32" t="s">
        <v>11</v>
      </c>
      <c r="I120" s="32" t="s">
        <v>12</v>
      </c>
      <c r="J120" s="28" t="s">
        <v>13</v>
      </c>
      <c r="K120" s="28" t="str" cm="1">
        <f t="array" aca="1" ref="K12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1" spans="1:11" x14ac:dyDescent="0.35">
      <c r="A121" s="22">
        <f>YEAR(Tabela135[[#This Row],[Vencimento]])</f>
        <v>2024</v>
      </c>
      <c r="B121" s="23" t="str">
        <f>TEXT(D121,"mmmm")</f>
        <v>agosto</v>
      </c>
      <c r="C121" s="23">
        <f>DAY(Tabela135[[#This Row],[Vencimento]])</f>
        <v>20</v>
      </c>
      <c r="D121" s="24">
        <v>45524</v>
      </c>
      <c r="E121" s="33">
        <v>45524</v>
      </c>
      <c r="F121" s="34">
        <v>100</v>
      </c>
      <c r="G121" s="35" t="s">
        <v>20</v>
      </c>
      <c r="H121" s="32" t="s">
        <v>11</v>
      </c>
      <c r="I121" s="32" t="s">
        <v>12</v>
      </c>
      <c r="J121" s="28" t="s">
        <v>13</v>
      </c>
      <c r="K121" s="27" t="str" cm="1">
        <f t="array" aca="1" ref="K12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2" spans="1:11" x14ac:dyDescent="0.35">
      <c r="A122" s="22">
        <f>YEAR(Tabela135[[#This Row],[Vencimento]])</f>
        <v>2024</v>
      </c>
      <c r="B122" s="23" t="str">
        <f>TEXT(D122,"mmmm")</f>
        <v>agosto</v>
      </c>
      <c r="C122" s="23">
        <f>DAY(Tabela135[[#This Row],[Vencimento]])</f>
        <v>20</v>
      </c>
      <c r="D122" s="24">
        <v>45524</v>
      </c>
      <c r="E122" s="33">
        <v>45524</v>
      </c>
      <c r="F122" s="34">
        <v>298</v>
      </c>
      <c r="G122" s="35" t="s">
        <v>18</v>
      </c>
      <c r="H122" s="32" t="s">
        <v>42</v>
      </c>
      <c r="I122" s="32" t="s">
        <v>15</v>
      </c>
      <c r="J122" s="28" t="s">
        <v>13</v>
      </c>
      <c r="K122" s="27" t="str" cm="1">
        <f t="array" aca="1" ref="K12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3" spans="1:11" x14ac:dyDescent="0.35">
      <c r="A123" s="22">
        <f>YEAR(Tabela135[[#This Row],[Vencimento]])</f>
        <v>2024</v>
      </c>
      <c r="B123" s="23" t="str">
        <f>TEXT(D123,"mmmm")</f>
        <v>agosto</v>
      </c>
      <c r="C123" s="23">
        <f>DAY(Tabela135[[#This Row],[Vencimento]])</f>
        <v>20</v>
      </c>
      <c r="D123" s="24">
        <v>45524</v>
      </c>
      <c r="E123" s="33">
        <v>45524</v>
      </c>
      <c r="F123" s="34">
        <v>100</v>
      </c>
      <c r="G123" s="35" t="s">
        <v>43</v>
      </c>
      <c r="H123" s="32" t="s">
        <v>44</v>
      </c>
      <c r="I123" s="32" t="s">
        <v>12</v>
      </c>
      <c r="J123" s="28" t="s">
        <v>13</v>
      </c>
      <c r="K123" s="27" t="str" cm="1">
        <f t="array" aca="1" ref="K12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4" spans="1:11" x14ac:dyDescent="0.35">
      <c r="A124" s="22">
        <f>YEAR(Tabela135[[#This Row],[Vencimento]])</f>
        <v>2024</v>
      </c>
      <c r="B124" s="23" t="str">
        <f>TEXT(D124,"mmmm")</f>
        <v>agosto</v>
      </c>
      <c r="C124" s="23">
        <f>DAY(Tabela135[[#This Row],[Vencimento]])</f>
        <v>5</v>
      </c>
      <c r="D124" s="24">
        <v>45509</v>
      </c>
      <c r="E124" s="33">
        <v>45509</v>
      </c>
      <c r="F124" s="34">
        <v>2500</v>
      </c>
      <c r="G124" s="35" t="s">
        <v>45</v>
      </c>
      <c r="H124" s="32" t="s">
        <v>11</v>
      </c>
      <c r="I124" s="32" t="s">
        <v>12</v>
      </c>
      <c r="J124" s="28" t="s">
        <v>13</v>
      </c>
      <c r="K124" s="27" t="str" cm="1">
        <f t="array" aca="1" ref="K12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5" spans="1:11" x14ac:dyDescent="0.35">
      <c r="A125" s="22">
        <f>YEAR(Tabela135[[#This Row],[Vencimento]])</f>
        <v>2024</v>
      </c>
      <c r="B125" s="23" t="str">
        <f>TEXT(D125,"mmmm")</f>
        <v>agosto</v>
      </c>
      <c r="C125" s="23">
        <f>DAY(Tabela135[[#This Row],[Vencimento]])</f>
        <v>20</v>
      </c>
      <c r="D125" s="24">
        <v>45524</v>
      </c>
      <c r="E125" s="33">
        <v>45524</v>
      </c>
      <c r="F125" s="34">
        <v>800</v>
      </c>
      <c r="G125" s="35" t="s">
        <v>46</v>
      </c>
      <c r="H125" s="32" t="s">
        <v>47</v>
      </c>
      <c r="I125" s="32" t="s">
        <v>12</v>
      </c>
      <c r="J125" s="28" t="s">
        <v>13</v>
      </c>
      <c r="K125" s="27" t="str" cm="1">
        <f t="array" aca="1" ref="K12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6" spans="1:11" x14ac:dyDescent="0.35">
      <c r="A126" s="22">
        <f>YEAR(Tabela135[[#This Row],[Vencimento]])</f>
        <v>2024</v>
      </c>
      <c r="B126" s="23" t="str">
        <f>TEXT(D126,"mmmm")</f>
        <v>agosto</v>
      </c>
      <c r="C126" s="23">
        <f>DAY(Tabela135[[#This Row],[Vencimento]])</f>
        <v>20</v>
      </c>
      <c r="D126" s="24">
        <v>45524</v>
      </c>
      <c r="E126" s="33">
        <v>45524</v>
      </c>
      <c r="F126" s="34">
        <v>1000</v>
      </c>
      <c r="G126" s="35" t="s">
        <v>48</v>
      </c>
      <c r="H126" s="32" t="s">
        <v>49</v>
      </c>
      <c r="I126" s="32" t="s">
        <v>12</v>
      </c>
      <c r="J126" s="28" t="s">
        <v>13</v>
      </c>
      <c r="K126" s="27" t="str" cm="1">
        <f t="array" aca="1" ref="K12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7" spans="1:11" x14ac:dyDescent="0.35">
      <c r="A127" s="22">
        <f>YEAR(Tabela135[[#This Row],[Vencimento]])</f>
        <v>2024</v>
      </c>
      <c r="B127" s="23" t="str">
        <f>TEXT(D127,"mmmm")</f>
        <v>agosto</v>
      </c>
      <c r="C127" s="23">
        <f>DAY(Tabela135[[#This Row],[Vencimento]])</f>
        <v>20</v>
      </c>
      <c r="D127" s="24">
        <v>45524</v>
      </c>
      <c r="E127" s="33">
        <v>45524</v>
      </c>
      <c r="F127" s="34">
        <v>298</v>
      </c>
      <c r="G127" s="35" t="s">
        <v>50</v>
      </c>
      <c r="H127" s="32" t="s">
        <v>42</v>
      </c>
      <c r="I127" s="32" t="s">
        <v>15</v>
      </c>
      <c r="J127" s="28" t="s">
        <v>13</v>
      </c>
      <c r="K127" s="27" t="str" cm="1">
        <f t="array" aca="1" ref="K12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8" spans="1:11" x14ac:dyDescent="0.35">
      <c r="A128" s="32">
        <f>YEAR(Tabela135[[#This Row],[Vencimento]])</f>
        <v>2024</v>
      </c>
      <c r="B128" s="28" t="str">
        <f>TEXT(D128,"mmmm")</f>
        <v>dezembro</v>
      </c>
      <c r="C128" s="28">
        <f>DAY(Tabela135[[#This Row],[Vencimento]])</f>
        <v>5</v>
      </c>
      <c r="D128" s="24">
        <v>45631</v>
      </c>
      <c r="E128" s="33">
        <v>45631</v>
      </c>
      <c r="F128" s="34">
        <v>160</v>
      </c>
      <c r="G128" s="35" t="s">
        <v>21</v>
      </c>
      <c r="H128" s="32" t="s">
        <v>11</v>
      </c>
      <c r="I128" s="32" t="s">
        <v>12</v>
      </c>
      <c r="J128" s="28" t="s">
        <v>13</v>
      </c>
      <c r="K128" s="28" t="str" cm="1">
        <f t="array" aca="1" ref="K12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29" spans="1:11" x14ac:dyDescent="0.35">
      <c r="A129" s="19">
        <f>YEAR(Tabela135[[#This Row],[Vencimento]])</f>
        <v>2024</v>
      </c>
      <c r="B129" s="20" t="str">
        <f>TEXT(D129,"mmmm")</f>
        <v>dezembro</v>
      </c>
      <c r="C129" s="20">
        <f>DAY(Tabela135[[#This Row],[Vencimento]])</f>
        <v>5</v>
      </c>
      <c r="D129" s="24">
        <v>45631</v>
      </c>
      <c r="E129" s="33">
        <v>45631</v>
      </c>
      <c r="F129" s="34">
        <v>350</v>
      </c>
      <c r="G129" s="35" t="s">
        <v>10</v>
      </c>
      <c r="H129" s="32" t="s">
        <v>11</v>
      </c>
      <c r="I129" s="32" t="s">
        <v>12</v>
      </c>
      <c r="J129" s="28" t="s">
        <v>13</v>
      </c>
      <c r="K129" s="28" t="str" cm="1">
        <f t="array" aca="1" ref="K12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30" spans="1:11" x14ac:dyDescent="0.35">
      <c r="A130" s="22">
        <f>YEAR(Tabela135[[#This Row],[Vencimento]])</f>
        <v>2024</v>
      </c>
      <c r="B130" s="23" t="str">
        <f>TEXT(D130,"mmmm")</f>
        <v>dezembro</v>
      </c>
      <c r="C130" s="23">
        <f>DAY(Tabela135[[#This Row],[Vencimento]])</f>
        <v>20</v>
      </c>
      <c r="D130" s="24">
        <v>45646</v>
      </c>
      <c r="E130" s="33">
        <v>45644</v>
      </c>
      <c r="F130" s="34">
        <v>100</v>
      </c>
      <c r="G130" s="35" t="s">
        <v>20</v>
      </c>
      <c r="H130" s="32" t="s">
        <v>11</v>
      </c>
      <c r="I130" s="32" t="s">
        <v>12</v>
      </c>
      <c r="J130" s="28" t="s">
        <v>13</v>
      </c>
      <c r="K130" s="27" t="str" cm="1">
        <f t="array" aca="1" ref="K13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31" spans="1:11" x14ac:dyDescent="0.35">
      <c r="A131" s="22">
        <f>YEAR(Tabela135[[#This Row],[Vencimento]])</f>
        <v>2024</v>
      </c>
      <c r="B131" s="23" t="str">
        <f>TEXT(D131,"mmmm")</f>
        <v>dezembro</v>
      </c>
      <c r="C131" s="23">
        <f>DAY(Tabela135[[#This Row],[Vencimento]])</f>
        <v>20</v>
      </c>
      <c r="D131" s="24">
        <v>45646</v>
      </c>
      <c r="E131" s="33">
        <v>45644</v>
      </c>
      <c r="F131" s="34">
        <v>275</v>
      </c>
      <c r="G131" s="35" t="s">
        <v>18</v>
      </c>
      <c r="H131" s="32" t="s">
        <v>42</v>
      </c>
      <c r="I131" s="32" t="s">
        <v>15</v>
      </c>
      <c r="J131" s="28" t="s">
        <v>13</v>
      </c>
      <c r="K131" s="27" t="str" cm="1">
        <f t="array" aca="1" ref="K13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32" spans="1:11" x14ac:dyDescent="0.35">
      <c r="A132" s="22">
        <f>YEAR(Tabela135[[#This Row],[Vencimento]])</f>
        <v>2024</v>
      </c>
      <c r="B132" s="23" t="str">
        <f>TEXT(D132,"mmmm")</f>
        <v>dezembro</v>
      </c>
      <c r="C132" s="23">
        <f>DAY(Tabela135[[#This Row],[Vencimento]])</f>
        <v>20</v>
      </c>
      <c r="D132" s="24">
        <v>45646</v>
      </c>
      <c r="E132" s="33">
        <v>45644</v>
      </c>
      <c r="F132" s="34">
        <v>100</v>
      </c>
      <c r="G132" s="35" t="s">
        <v>43</v>
      </c>
      <c r="H132" s="32" t="s">
        <v>44</v>
      </c>
      <c r="I132" s="32" t="s">
        <v>12</v>
      </c>
      <c r="J132" s="28" t="s">
        <v>13</v>
      </c>
      <c r="K132" s="27" t="str" cm="1">
        <f t="array" aca="1" ref="K13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33" spans="1:11" x14ac:dyDescent="0.35">
      <c r="A133" s="22">
        <f>YEAR(Tabela135[[#This Row],[Vencimento]])</f>
        <v>2024</v>
      </c>
      <c r="B133" s="23" t="str">
        <f>TEXT(D133,"mmmm")</f>
        <v>dezembro</v>
      </c>
      <c r="C133" s="23">
        <f>DAY(Tabela135[[#This Row],[Vencimento]])</f>
        <v>5</v>
      </c>
      <c r="D133" s="24">
        <v>45631</v>
      </c>
      <c r="E133" s="33">
        <v>45631</v>
      </c>
      <c r="F133" s="34">
        <v>2500</v>
      </c>
      <c r="G133" s="35" t="s">
        <v>45</v>
      </c>
      <c r="H133" s="32" t="s">
        <v>11</v>
      </c>
      <c r="I133" s="32" t="s">
        <v>12</v>
      </c>
      <c r="J133" s="28" t="s">
        <v>13</v>
      </c>
      <c r="K133" s="27" t="str" cm="1">
        <f t="array" aca="1" ref="K13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34" spans="1:11" x14ac:dyDescent="0.35">
      <c r="A134" s="22">
        <f>YEAR(Tabela135[[#This Row],[Vencimento]])</f>
        <v>2024</v>
      </c>
      <c r="B134" s="23" t="str">
        <f>TEXT(D134,"mmmm")</f>
        <v>dezembro</v>
      </c>
      <c r="C134" s="23">
        <f>DAY(Tabela135[[#This Row],[Vencimento]])</f>
        <v>20</v>
      </c>
      <c r="D134" s="24">
        <v>45646</v>
      </c>
      <c r="E134" s="33">
        <v>45644</v>
      </c>
      <c r="F134" s="34">
        <v>800</v>
      </c>
      <c r="G134" s="35" t="s">
        <v>46</v>
      </c>
      <c r="H134" s="32" t="s">
        <v>47</v>
      </c>
      <c r="I134" s="32" t="s">
        <v>12</v>
      </c>
      <c r="J134" s="28" t="s">
        <v>13</v>
      </c>
      <c r="K134" s="27" t="str" cm="1">
        <f t="array" aca="1" ref="K13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35" spans="1:11" x14ac:dyDescent="0.35">
      <c r="A135" s="22">
        <f>YEAR(Tabela135[[#This Row],[Vencimento]])</f>
        <v>2024</v>
      </c>
      <c r="B135" s="23" t="str">
        <f>TEXT(D135,"mmmm")</f>
        <v>dezembro</v>
      </c>
      <c r="C135" s="23">
        <f>DAY(Tabela135[[#This Row],[Vencimento]])</f>
        <v>20</v>
      </c>
      <c r="D135" s="24">
        <v>45646</v>
      </c>
      <c r="E135" s="33">
        <v>45644</v>
      </c>
      <c r="F135" s="34">
        <v>1000</v>
      </c>
      <c r="G135" s="35" t="s">
        <v>48</v>
      </c>
      <c r="H135" s="32" t="s">
        <v>49</v>
      </c>
      <c r="I135" s="32" t="s">
        <v>12</v>
      </c>
      <c r="J135" s="28" t="s">
        <v>13</v>
      </c>
      <c r="K135" s="27" t="str" cm="1">
        <f t="array" aca="1" ref="K13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36" spans="1:11" x14ac:dyDescent="0.35">
      <c r="A136" s="22">
        <f>YEAR(Tabela135[[#This Row],[Vencimento]])</f>
        <v>2024</v>
      </c>
      <c r="B136" s="23" t="str">
        <f>TEXT(D136,"mmmm")</f>
        <v>dezembro</v>
      </c>
      <c r="C136" s="23">
        <f>DAY(Tabela135[[#This Row],[Vencimento]])</f>
        <v>20</v>
      </c>
      <c r="D136" s="24">
        <v>45646</v>
      </c>
      <c r="E136" s="33">
        <v>45644</v>
      </c>
      <c r="F136" s="34">
        <v>275</v>
      </c>
      <c r="G136" s="35" t="s">
        <v>50</v>
      </c>
      <c r="H136" s="32" t="s">
        <v>42</v>
      </c>
      <c r="I136" s="32" t="s">
        <v>15</v>
      </c>
      <c r="J136" s="28" t="s">
        <v>13</v>
      </c>
      <c r="K136" s="27" t="str" cm="1">
        <f t="array" aca="1" ref="K13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37" spans="1:11" x14ac:dyDescent="0.35">
      <c r="A137" s="32">
        <f>YEAR(Tabela135[[#This Row],[Vencimento]])</f>
        <v>2024</v>
      </c>
      <c r="B137" s="28" t="str">
        <f>TEXT(D137,"mmmm")</f>
        <v>fevereiro</v>
      </c>
      <c r="C137" s="28">
        <f>DAY(Tabela135[[#This Row],[Vencimento]])</f>
        <v>5</v>
      </c>
      <c r="D137" s="24">
        <v>45327</v>
      </c>
      <c r="E137" s="33">
        <v>45329</v>
      </c>
      <c r="F137" s="34">
        <v>160</v>
      </c>
      <c r="G137" s="35" t="s">
        <v>21</v>
      </c>
      <c r="H137" s="32" t="s">
        <v>11</v>
      </c>
      <c r="I137" s="32" t="s">
        <v>12</v>
      </c>
      <c r="J137" s="28" t="s">
        <v>13</v>
      </c>
      <c r="K137" s="28" t="str" cm="1">
        <f t="array" aca="1" ref="K13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38" spans="1:11" x14ac:dyDescent="0.35">
      <c r="A138" s="19">
        <f>YEAR(Tabela135[[#This Row],[Vencimento]])</f>
        <v>2024</v>
      </c>
      <c r="B138" s="20" t="str">
        <f>TEXT(D138,"mmmm")</f>
        <v>fevereiro</v>
      </c>
      <c r="C138" s="20">
        <f>DAY(Tabela135[[#This Row],[Vencimento]])</f>
        <v>5</v>
      </c>
      <c r="D138" s="24">
        <v>45327</v>
      </c>
      <c r="E138" s="33">
        <v>45329</v>
      </c>
      <c r="F138" s="34">
        <v>350</v>
      </c>
      <c r="G138" s="35" t="s">
        <v>10</v>
      </c>
      <c r="H138" s="32" t="s">
        <v>11</v>
      </c>
      <c r="I138" s="32" t="s">
        <v>12</v>
      </c>
      <c r="J138" s="28" t="s">
        <v>13</v>
      </c>
      <c r="K138" s="28" t="str" cm="1">
        <f t="array" aca="1" ref="K13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39" spans="1:11" x14ac:dyDescent="0.35">
      <c r="A139" s="22">
        <f>YEAR(Tabela135[[#This Row],[Vencimento]])</f>
        <v>2024</v>
      </c>
      <c r="B139" s="23" t="str">
        <f>TEXT(D139,"mmmm")</f>
        <v>fevereiro</v>
      </c>
      <c r="C139" s="23">
        <f>DAY(Tabela135[[#This Row],[Vencimento]])</f>
        <v>20</v>
      </c>
      <c r="D139" s="24">
        <v>45342</v>
      </c>
      <c r="E139" s="33">
        <v>45342</v>
      </c>
      <c r="F139" s="34">
        <v>100</v>
      </c>
      <c r="G139" s="35" t="s">
        <v>20</v>
      </c>
      <c r="H139" s="32" t="s">
        <v>11</v>
      </c>
      <c r="I139" s="32" t="s">
        <v>12</v>
      </c>
      <c r="J139" s="28" t="s">
        <v>13</v>
      </c>
      <c r="K139" s="27" t="str" cm="1">
        <f t="array" aca="1" ref="K13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40" spans="1:11" x14ac:dyDescent="0.35">
      <c r="A140" s="22">
        <f>YEAR(Tabela135[[#This Row],[Vencimento]])</f>
        <v>2024</v>
      </c>
      <c r="B140" s="23" t="str">
        <f>TEXT(D140,"mmmm")</f>
        <v>fevereiro</v>
      </c>
      <c r="C140" s="23">
        <f>DAY(Tabela135[[#This Row],[Vencimento]])</f>
        <v>20</v>
      </c>
      <c r="D140" s="24">
        <v>45342</v>
      </c>
      <c r="E140" s="33">
        <v>45342</v>
      </c>
      <c r="F140" s="34">
        <v>667</v>
      </c>
      <c r="G140" s="35" t="s">
        <v>18</v>
      </c>
      <c r="H140" s="32" t="s">
        <v>42</v>
      </c>
      <c r="I140" s="32" t="s">
        <v>15</v>
      </c>
      <c r="J140" s="28" t="s">
        <v>13</v>
      </c>
      <c r="K140" s="27" t="str" cm="1">
        <f t="array" aca="1" ref="K14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41" spans="1:11" x14ac:dyDescent="0.35">
      <c r="A141" s="22">
        <f>YEAR(Tabela135[[#This Row],[Vencimento]])</f>
        <v>2024</v>
      </c>
      <c r="B141" s="23" t="str">
        <f>TEXT(D141,"mmmm")</f>
        <v>fevereiro</v>
      </c>
      <c r="C141" s="23">
        <f>DAY(Tabela135[[#This Row],[Vencimento]])</f>
        <v>20</v>
      </c>
      <c r="D141" s="24">
        <v>45342</v>
      </c>
      <c r="E141" s="33">
        <v>45342</v>
      </c>
      <c r="F141" s="34">
        <v>100</v>
      </c>
      <c r="G141" s="35" t="s">
        <v>43</v>
      </c>
      <c r="H141" s="32" t="s">
        <v>44</v>
      </c>
      <c r="I141" s="32" t="s">
        <v>12</v>
      </c>
      <c r="J141" s="28" t="s">
        <v>13</v>
      </c>
      <c r="K141" s="27" t="str" cm="1">
        <f t="array" aca="1" ref="K14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42" spans="1:11" x14ac:dyDescent="0.35">
      <c r="A142" s="22">
        <f>YEAR(Tabela135[[#This Row],[Vencimento]])</f>
        <v>2024</v>
      </c>
      <c r="B142" s="23" t="str">
        <f>TEXT(D142,"mmmm")</f>
        <v>fevereiro</v>
      </c>
      <c r="C142" s="23">
        <f>DAY(Tabela135[[#This Row],[Vencimento]])</f>
        <v>5</v>
      </c>
      <c r="D142" s="24">
        <v>45327</v>
      </c>
      <c r="E142" s="33">
        <v>45331</v>
      </c>
      <c r="F142" s="34">
        <v>2500</v>
      </c>
      <c r="G142" s="35" t="s">
        <v>45</v>
      </c>
      <c r="H142" s="32" t="s">
        <v>11</v>
      </c>
      <c r="I142" s="32" t="s">
        <v>12</v>
      </c>
      <c r="J142" s="28" t="s">
        <v>13</v>
      </c>
      <c r="K142" s="27" t="str" cm="1">
        <f t="array" aca="1" ref="K14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43" spans="1:11" x14ac:dyDescent="0.35">
      <c r="A143" s="22">
        <f>YEAR(Tabela135[[#This Row],[Vencimento]])</f>
        <v>2024</v>
      </c>
      <c r="B143" s="23" t="str">
        <f>TEXT(D143,"mmmm")</f>
        <v>fevereiro</v>
      </c>
      <c r="C143" s="23">
        <f>DAY(Tabela135[[#This Row],[Vencimento]])</f>
        <v>20</v>
      </c>
      <c r="D143" s="24">
        <v>45342</v>
      </c>
      <c r="E143" s="33">
        <v>45342</v>
      </c>
      <c r="F143" s="34">
        <v>800</v>
      </c>
      <c r="G143" s="35" t="s">
        <v>46</v>
      </c>
      <c r="H143" s="32" t="s">
        <v>47</v>
      </c>
      <c r="I143" s="32" t="s">
        <v>12</v>
      </c>
      <c r="J143" s="28" t="s">
        <v>13</v>
      </c>
      <c r="K143" s="27" t="str" cm="1">
        <f t="array" aca="1" ref="K14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44" spans="1:11" x14ac:dyDescent="0.35">
      <c r="A144" s="22">
        <f>YEAR(Tabela135[[#This Row],[Vencimento]])</f>
        <v>2024</v>
      </c>
      <c r="B144" s="23" t="str">
        <f>TEXT(D144,"mmmm")</f>
        <v>fevereiro</v>
      </c>
      <c r="C144" s="23">
        <f>DAY(Tabela135[[#This Row],[Vencimento]])</f>
        <v>20</v>
      </c>
      <c r="D144" s="24">
        <v>45342</v>
      </c>
      <c r="E144" s="33">
        <v>45342</v>
      </c>
      <c r="F144" s="34">
        <v>1000</v>
      </c>
      <c r="G144" s="35" t="s">
        <v>48</v>
      </c>
      <c r="H144" s="32" t="s">
        <v>49</v>
      </c>
      <c r="I144" s="32" t="s">
        <v>12</v>
      </c>
      <c r="J144" s="28" t="s">
        <v>13</v>
      </c>
      <c r="K144" s="27" t="str" cm="1">
        <f t="array" aca="1" ref="K14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45" spans="1:11" x14ac:dyDescent="0.35">
      <c r="A145" s="22">
        <f>YEAR(Tabela135[[#This Row],[Vencimento]])</f>
        <v>2024</v>
      </c>
      <c r="B145" s="25" t="str">
        <f>TEXT(D145,"mmmm")</f>
        <v>fevereiro</v>
      </c>
      <c r="C145" s="25">
        <f>DAY(Tabela135[[#This Row],[Vencimento]])</f>
        <v>20</v>
      </c>
      <c r="D145" s="40">
        <v>45342</v>
      </c>
      <c r="E145" s="36">
        <v>45342</v>
      </c>
      <c r="F145" s="34">
        <v>245</v>
      </c>
      <c r="G145" s="35" t="s">
        <v>50</v>
      </c>
      <c r="H145" s="43" t="s">
        <v>42</v>
      </c>
      <c r="I145" s="43" t="s">
        <v>15</v>
      </c>
      <c r="J145" s="31" t="s">
        <v>13</v>
      </c>
      <c r="K145" s="38" t="str" cm="1">
        <f t="array" aca="1" ref="K14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46" spans="1:11" x14ac:dyDescent="0.35">
      <c r="A146" s="32">
        <f>YEAR(Tabela135[[#This Row],[Vencimento]])</f>
        <v>2024</v>
      </c>
      <c r="B146" s="28" t="str">
        <f>TEXT(D146,"mmmm")</f>
        <v>janeiro</v>
      </c>
      <c r="C146" s="28">
        <f>DAY(Tabela135[[#This Row],[Vencimento]])</f>
        <v>5</v>
      </c>
      <c r="D146" s="24">
        <v>45296</v>
      </c>
      <c r="E146" s="33">
        <v>45295</v>
      </c>
      <c r="F146" s="34">
        <v>160</v>
      </c>
      <c r="G146" s="35" t="s">
        <v>21</v>
      </c>
      <c r="H146" s="32" t="s">
        <v>11</v>
      </c>
      <c r="I146" s="32" t="s">
        <v>12</v>
      </c>
      <c r="J146" s="28" t="s">
        <v>13</v>
      </c>
      <c r="K146" s="28" t="str" cm="1">
        <f t="array" aca="1" ref="K14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47" spans="1:11" x14ac:dyDescent="0.35">
      <c r="A147" s="19">
        <f>YEAR(Tabela135[[#This Row],[Vencimento]])</f>
        <v>2024</v>
      </c>
      <c r="B147" s="20" t="str">
        <f>TEXT(D147,"mmmm")</f>
        <v>janeiro</v>
      </c>
      <c r="C147" s="20">
        <f>DAY(Tabela135[[#This Row],[Vencimento]])</f>
        <v>5</v>
      </c>
      <c r="D147" s="24">
        <v>45296</v>
      </c>
      <c r="E147" s="33">
        <v>45295</v>
      </c>
      <c r="F147" s="34">
        <v>350</v>
      </c>
      <c r="G147" s="35" t="s">
        <v>10</v>
      </c>
      <c r="H147" s="32" t="s">
        <v>11</v>
      </c>
      <c r="I147" s="32" t="s">
        <v>12</v>
      </c>
      <c r="J147" s="28" t="s">
        <v>13</v>
      </c>
      <c r="K147" s="28" t="str" cm="1">
        <f t="array" aca="1" ref="K14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48" spans="1:11" x14ac:dyDescent="0.35">
      <c r="A148" s="22">
        <f>YEAR(Tabela135[[#This Row],[Vencimento]])</f>
        <v>2024</v>
      </c>
      <c r="B148" s="23" t="str">
        <f>TEXT(D148,"mmmm")</f>
        <v>janeiro</v>
      </c>
      <c r="C148" s="23">
        <f>DAY(Tabela135[[#This Row],[Vencimento]])</f>
        <v>20</v>
      </c>
      <c r="D148" s="24">
        <v>45311</v>
      </c>
      <c r="E148" s="33">
        <v>45311</v>
      </c>
      <c r="F148" s="34">
        <v>100</v>
      </c>
      <c r="G148" s="35" t="s">
        <v>20</v>
      </c>
      <c r="H148" s="32" t="s">
        <v>11</v>
      </c>
      <c r="I148" s="32" t="s">
        <v>12</v>
      </c>
      <c r="J148" s="28" t="s">
        <v>13</v>
      </c>
      <c r="K148" s="27" t="str" cm="1">
        <f t="array" aca="1" ref="K14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49" spans="1:11" x14ac:dyDescent="0.35">
      <c r="A149" s="22">
        <f>YEAR(Tabela135[[#This Row],[Vencimento]])</f>
        <v>2024</v>
      </c>
      <c r="B149" s="23" t="str">
        <f>TEXT(D149,"mmmm")</f>
        <v>janeiro</v>
      </c>
      <c r="C149" s="23">
        <f>DAY(Tabela135[[#This Row],[Vencimento]])</f>
        <v>20</v>
      </c>
      <c r="D149" s="24">
        <v>45311</v>
      </c>
      <c r="E149" s="33">
        <v>45311</v>
      </c>
      <c r="F149" s="34">
        <v>987</v>
      </c>
      <c r="G149" s="35" t="s">
        <v>18</v>
      </c>
      <c r="H149" s="32" t="s">
        <v>42</v>
      </c>
      <c r="I149" s="32" t="s">
        <v>15</v>
      </c>
      <c r="J149" s="28" t="s">
        <v>13</v>
      </c>
      <c r="K149" s="27" t="str" cm="1">
        <f t="array" aca="1" ref="K14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50" spans="1:11" x14ac:dyDescent="0.35">
      <c r="A150" s="22">
        <f>YEAR(Tabela135[[#This Row],[Vencimento]])</f>
        <v>2024</v>
      </c>
      <c r="B150" s="23" t="str">
        <f>TEXT(D150,"mmmm")</f>
        <v>janeiro</v>
      </c>
      <c r="C150" s="23">
        <f>DAY(Tabela135[[#This Row],[Vencimento]])</f>
        <v>20</v>
      </c>
      <c r="D150" s="24">
        <v>45311</v>
      </c>
      <c r="E150" s="33">
        <v>45311</v>
      </c>
      <c r="F150" s="34">
        <v>100</v>
      </c>
      <c r="G150" s="35" t="s">
        <v>43</v>
      </c>
      <c r="H150" s="32" t="s">
        <v>44</v>
      </c>
      <c r="I150" s="32" t="s">
        <v>12</v>
      </c>
      <c r="J150" s="28" t="s">
        <v>13</v>
      </c>
      <c r="K150" s="27" t="str" cm="1">
        <f t="array" aca="1" ref="K15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51" spans="1:11" x14ac:dyDescent="0.35">
      <c r="A151" s="22">
        <f>YEAR(Tabela135[[#This Row],[Vencimento]])</f>
        <v>2024</v>
      </c>
      <c r="B151" s="23" t="str">
        <f>TEXT(D151,"mmmm")</f>
        <v>janeiro</v>
      </c>
      <c r="C151" s="23">
        <f>DAY(Tabela135[[#This Row],[Vencimento]])</f>
        <v>5</v>
      </c>
      <c r="D151" s="24">
        <v>45296</v>
      </c>
      <c r="E151" s="33">
        <v>45295</v>
      </c>
      <c r="F151" s="34">
        <v>2500</v>
      </c>
      <c r="G151" s="35" t="s">
        <v>45</v>
      </c>
      <c r="H151" s="32" t="s">
        <v>11</v>
      </c>
      <c r="I151" s="32" t="s">
        <v>12</v>
      </c>
      <c r="J151" s="28" t="s">
        <v>13</v>
      </c>
      <c r="K151" s="27" t="str" cm="1">
        <f t="array" aca="1" ref="K15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52" spans="1:11" x14ac:dyDescent="0.35">
      <c r="A152" s="22">
        <f>YEAR(Tabela135[[#This Row],[Vencimento]])</f>
        <v>2024</v>
      </c>
      <c r="B152" s="23" t="str">
        <f>TEXT(D152,"mmmm")</f>
        <v>janeiro</v>
      </c>
      <c r="C152" s="23">
        <f>DAY(Tabela135[[#This Row],[Vencimento]])</f>
        <v>20</v>
      </c>
      <c r="D152" s="24">
        <v>45311</v>
      </c>
      <c r="E152" s="33">
        <v>45311</v>
      </c>
      <c r="F152" s="34">
        <v>800</v>
      </c>
      <c r="G152" s="35" t="s">
        <v>46</v>
      </c>
      <c r="H152" s="32" t="s">
        <v>47</v>
      </c>
      <c r="I152" s="32" t="s">
        <v>12</v>
      </c>
      <c r="J152" s="28" t="s">
        <v>13</v>
      </c>
      <c r="K152" s="27" t="str" cm="1">
        <f t="array" aca="1" ref="K15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53" spans="1:11" x14ac:dyDescent="0.35">
      <c r="A153" s="22">
        <f>YEAR(Tabela135[[#This Row],[Vencimento]])</f>
        <v>2024</v>
      </c>
      <c r="B153" s="23" t="str">
        <f>TEXT(D153,"mmmm")</f>
        <v>janeiro</v>
      </c>
      <c r="C153" s="23">
        <f>DAY(Tabela135[[#This Row],[Vencimento]])</f>
        <v>20</v>
      </c>
      <c r="D153" s="24">
        <v>45311</v>
      </c>
      <c r="E153" s="33">
        <v>45311</v>
      </c>
      <c r="F153" s="34">
        <v>1000</v>
      </c>
      <c r="G153" s="35" t="s">
        <v>48</v>
      </c>
      <c r="H153" s="32" t="s">
        <v>49</v>
      </c>
      <c r="I153" s="32" t="s">
        <v>12</v>
      </c>
      <c r="J153" s="28" t="s">
        <v>13</v>
      </c>
      <c r="K153" s="27" t="str" cm="1">
        <f t="array" aca="1" ref="K15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54" spans="1:11" x14ac:dyDescent="0.35">
      <c r="A154" s="22">
        <f>YEAR(Tabela135[[#This Row],[Vencimento]])</f>
        <v>2024</v>
      </c>
      <c r="B154" s="23" t="str">
        <f>TEXT(D154,"mmmm")</f>
        <v>janeiro</v>
      </c>
      <c r="C154" s="23">
        <f>DAY(Tabela135[[#This Row],[Vencimento]])</f>
        <v>20</v>
      </c>
      <c r="D154" s="24">
        <v>45311</v>
      </c>
      <c r="E154" s="33">
        <v>45311</v>
      </c>
      <c r="F154" s="34">
        <v>345</v>
      </c>
      <c r="G154" s="35" t="s">
        <v>50</v>
      </c>
      <c r="H154" s="32" t="s">
        <v>42</v>
      </c>
      <c r="I154" s="32" t="s">
        <v>15</v>
      </c>
      <c r="J154" s="28" t="s">
        <v>13</v>
      </c>
      <c r="K154" s="27" t="str" cm="1">
        <f t="array" aca="1" ref="K15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55" spans="1:11" x14ac:dyDescent="0.35">
      <c r="A155" s="32">
        <f>YEAR(Tabela135[[#This Row],[Vencimento]])</f>
        <v>2024</v>
      </c>
      <c r="B155" s="28" t="str">
        <f>TEXT(D155,"mmmm")</f>
        <v>julho</v>
      </c>
      <c r="C155" s="28">
        <f>DAY(Tabela135[[#This Row],[Vencimento]])</f>
        <v>5</v>
      </c>
      <c r="D155" s="24">
        <v>45478</v>
      </c>
      <c r="E155" s="33">
        <v>45478</v>
      </c>
      <c r="F155" s="34">
        <v>160</v>
      </c>
      <c r="G155" s="35" t="s">
        <v>21</v>
      </c>
      <c r="H155" s="32" t="s">
        <v>11</v>
      </c>
      <c r="I155" s="32" t="s">
        <v>12</v>
      </c>
      <c r="J155" s="28" t="s">
        <v>13</v>
      </c>
      <c r="K155" s="28" t="str" cm="1">
        <f t="array" aca="1" ref="K15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56" spans="1:11" x14ac:dyDescent="0.35">
      <c r="A156" s="19">
        <f>YEAR(Tabela135[[#This Row],[Vencimento]])</f>
        <v>2024</v>
      </c>
      <c r="B156" s="20" t="str">
        <f>TEXT(D156,"mmmm")</f>
        <v>julho</v>
      </c>
      <c r="C156" s="20">
        <f>DAY(Tabela135[[#This Row],[Vencimento]])</f>
        <v>5</v>
      </c>
      <c r="D156" s="24">
        <v>45478</v>
      </c>
      <c r="E156" s="33">
        <v>45478</v>
      </c>
      <c r="F156" s="34">
        <v>350</v>
      </c>
      <c r="G156" s="35" t="s">
        <v>10</v>
      </c>
      <c r="H156" s="32" t="s">
        <v>11</v>
      </c>
      <c r="I156" s="32" t="s">
        <v>12</v>
      </c>
      <c r="J156" s="28" t="s">
        <v>13</v>
      </c>
      <c r="K156" s="28" t="str" cm="1">
        <f t="array" aca="1" ref="K15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57" spans="1:11" x14ac:dyDescent="0.35">
      <c r="A157" s="22">
        <f>YEAR(Tabela135[[#This Row],[Vencimento]])</f>
        <v>2024</v>
      </c>
      <c r="B157" s="23" t="str">
        <f>TEXT(D157,"mmmm")</f>
        <v>julho</v>
      </c>
      <c r="C157" s="23">
        <f>DAY(Tabela135[[#This Row],[Vencimento]])</f>
        <v>20</v>
      </c>
      <c r="D157" s="24">
        <v>45493</v>
      </c>
      <c r="E157" s="33">
        <v>45496</v>
      </c>
      <c r="F157" s="34">
        <v>100</v>
      </c>
      <c r="G157" s="35" t="s">
        <v>20</v>
      </c>
      <c r="H157" s="32" t="s">
        <v>11</v>
      </c>
      <c r="I157" s="32" t="s">
        <v>12</v>
      </c>
      <c r="J157" s="28" t="s">
        <v>13</v>
      </c>
      <c r="K157" s="27" t="str" cm="1">
        <f t="array" aca="1" ref="K15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58" spans="1:11" x14ac:dyDescent="0.35">
      <c r="A158" s="22">
        <f>YEAR(Tabela135[[#This Row],[Vencimento]])</f>
        <v>2024</v>
      </c>
      <c r="B158" s="23" t="str">
        <f>TEXT(D158,"mmmm")</f>
        <v>julho</v>
      </c>
      <c r="C158" s="23">
        <f>DAY(Tabela135[[#This Row],[Vencimento]])</f>
        <v>20</v>
      </c>
      <c r="D158" s="24">
        <v>45493</v>
      </c>
      <c r="E158" s="33">
        <v>45496</v>
      </c>
      <c r="F158" s="34">
        <v>350</v>
      </c>
      <c r="G158" s="35" t="s">
        <v>18</v>
      </c>
      <c r="H158" s="32" t="s">
        <v>42</v>
      </c>
      <c r="I158" s="32" t="s">
        <v>15</v>
      </c>
      <c r="J158" s="28" t="s">
        <v>13</v>
      </c>
      <c r="K158" s="27" t="str" cm="1">
        <f t="array" aca="1" ref="K15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59" spans="1:11" x14ac:dyDescent="0.35">
      <c r="A159" s="22">
        <f>YEAR(Tabela135[[#This Row],[Vencimento]])</f>
        <v>2024</v>
      </c>
      <c r="B159" s="23" t="str">
        <f>TEXT(D159,"mmmm")</f>
        <v>julho</v>
      </c>
      <c r="C159" s="23">
        <f>DAY(Tabela135[[#This Row],[Vencimento]])</f>
        <v>20</v>
      </c>
      <c r="D159" s="24">
        <v>45493</v>
      </c>
      <c r="E159" s="33">
        <v>45492</v>
      </c>
      <c r="F159" s="34">
        <v>100</v>
      </c>
      <c r="G159" s="35" t="s">
        <v>43</v>
      </c>
      <c r="H159" s="32" t="s">
        <v>44</v>
      </c>
      <c r="I159" s="32" t="s">
        <v>12</v>
      </c>
      <c r="J159" s="28" t="s">
        <v>13</v>
      </c>
      <c r="K159" s="27" t="str" cm="1">
        <f t="array" aca="1" ref="K15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60" spans="1:11" x14ac:dyDescent="0.35">
      <c r="A160" s="22">
        <f>YEAR(Tabela135[[#This Row],[Vencimento]])</f>
        <v>2024</v>
      </c>
      <c r="B160" s="23" t="str">
        <f>TEXT(D160,"mmmm")</f>
        <v>julho</v>
      </c>
      <c r="C160" s="23">
        <f>DAY(Tabela135[[#This Row],[Vencimento]])</f>
        <v>5</v>
      </c>
      <c r="D160" s="24">
        <v>45478</v>
      </c>
      <c r="E160" s="33">
        <v>45478</v>
      </c>
      <c r="F160" s="34">
        <v>2500</v>
      </c>
      <c r="G160" s="35" t="s">
        <v>45</v>
      </c>
      <c r="H160" s="32" t="s">
        <v>11</v>
      </c>
      <c r="I160" s="32" t="s">
        <v>12</v>
      </c>
      <c r="J160" s="28" t="s">
        <v>13</v>
      </c>
      <c r="K160" s="27" t="str" cm="1">
        <f t="array" aca="1" ref="K16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61" spans="1:11" x14ac:dyDescent="0.35">
      <c r="A161" s="22">
        <f>YEAR(Tabela135[[#This Row],[Vencimento]])</f>
        <v>2024</v>
      </c>
      <c r="B161" s="23" t="str">
        <f>TEXT(D161,"mmmm")</f>
        <v>julho</v>
      </c>
      <c r="C161" s="23">
        <f>DAY(Tabela135[[#This Row],[Vencimento]])</f>
        <v>20</v>
      </c>
      <c r="D161" s="24">
        <v>45493</v>
      </c>
      <c r="E161" s="33">
        <v>45492</v>
      </c>
      <c r="F161" s="34">
        <v>800</v>
      </c>
      <c r="G161" s="35" t="s">
        <v>46</v>
      </c>
      <c r="H161" s="32" t="s">
        <v>47</v>
      </c>
      <c r="I161" s="32" t="s">
        <v>12</v>
      </c>
      <c r="J161" s="28" t="s">
        <v>13</v>
      </c>
      <c r="K161" s="27" t="str" cm="1">
        <f t="array" aca="1" ref="K16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62" spans="1:11" x14ac:dyDescent="0.35">
      <c r="A162" s="22">
        <f>YEAR(Tabela135[[#This Row],[Vencimento]])</f>
        <v>2024</v>
      </c>
      <c r="B162" s="23" t="str">
        <f>TEXT(D162,"mmmm")</f>
        <v>julho</v>
      </c>
      <c r="C162" s="23">
        <f>DAY(Tabela135[[#This Row],[Vencimento]])</f>
        <v>20</v>
      </c>
      <c r="D162" s="24">
        <v>45493</v>
      </c>
      <c r="E162" s="33">
        <v>45492</v>
      </c>
      <c r="F162" s="34">
        <v>1000</v>
      </c>
      <c r="G162" s="35" t="s">
        <v>48</v>
      </c>
      <c r="H162" s="32" t="s">
        <v>49</v>
      </c>
      <c r="I162" s="32" t="s">
        <v>12</v>
      </c>
      <c r="J162" s="28" t="s">
        <v>13</v>
      </c>
      <c r="K162" s="27" t="str" cm="1">
        <f t="array" aca="1" ref="K16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63" spans="1:11" x14ac:dyDescent="0.35">
      <c r="A163" s="22">
        <f>YEAR(Tabela135[[#This Row],[Vencimento]])</f>
        <v>2024</v>
      </c>
      <c r="B163" s="23" t="str">
        <f>TEXT(D163,"mmmm")</f>
        <v>julho</v>
      </c>
      <c r="C163" s="23">
        <f>DAY(Tabela135[[#This Row],[Vencimento]])</f>
        <v>20</v>
      </c>
      <c r="D163" s="24">
        <v>45493</v>
      </c>
      <c r="E163" s="33">
        <v>45496</v>
      </c>
      <c r="F163" s="34">
        <v>350</v>
      </c>
      <c r="G163" s="35" t="s">
        <v>50</v>
      </c>
      <c r="H163" s="32" t="s">
        <v>42</v>
      </c>
      <c r="I163" s="32" t="s">
        <v>15</v>
      </c>
      <c r="J163" s="28" t="s">
        <v>13</v>
      </c>
      <c r="K163" s="27" t="str" cm="1">
        <f t="array" aca="1" ref="K16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64" spans="1:11" x14ac:dyDescent="0.35">
      <c r="A164" s="32">
        <f>YEAR(Tabela135[[#This Row],[Vencimento]])</f>
        <v>2024</v>
      </c>
      <c r="B164" s="28" t="str">
        <f>TEXT(D164,"mmmm")</f>
        <v>junho</v>
      </c>
      <c r="C164" s="28">
        <f>DAY(Tabela135[[#This Row],[Vencimento]])</f>
        <v>5</v>
      </c>
      <c r="D164" s="24">
        <v>45448</v>
      </c>
      <c r="E164" s="33">
        <v>45448</v>
      </c>
      <c r="F164" s="34">
        <v>160</v>
      </c>
      <c r="G164" s="35" t="s">
        <v>21</v>
      </c>
      <c r="H164" s="32" t="s">
        <v>11</v>
      </c>
      <c r="I164" s="32" t="s">
        <v>12</v>
      </c>
      <c r="J164" s="28" t="s">
        <v>13</v>
      </c>
      <c r="K164" s="28" t="str" cm="1">
        <f t="array" aca="1" ref="K16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65" spans="1:11" x14ac:dyDescent="0.35">
      <c r="A165" s="19">
        <f>YEAR(Tabela135[[#This Row],[Vencimento]])</f>
        <v>2024</v>
      </c>
      <c r="B165" s="20" t="str">
        <f>TEXT(D165,"mmmm")</f>
        <v>junho</v>
      </c>
      <c r="C165" s="20">
        <f>DAY(Tabela135[[#This Row],[Vencimento]])</f>
        <v>5</v>
      </c>
      <c r="D165" s="24">
        <v>45448</v>
      </c>
      <c r="E165" s="33">
        <v>45448</v>
      </c>
      <c r="F165" s="34">
        <v>350</v>
      </c>
      <c r="G165" s="35" t="s">
        <v>10</v>
      </c>
      <c r="H165" s="32" t="s">
        <v>11</v>
      </c>
      <c r="I165" s="32" t="s">
        <v>12</v>
      </c>
      <c r="J165" s="28" t="s">
        <v>13</v>
      </c>
      <c r="K165" s="28" t="str" cm="1">
        <f t="array" aca="1" ref="K16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66" spans="1:11" x14ac:dyDescent="0.35">
      <c r="A166" s="22">
        <f>YEAR(Tabela135[[#This Row],[Vencimento]])</f>
        <v>2024</v>
      </c>
      <c r="B166" s="23" t="str">
        <f>TEXT(D166,"mmmm")</f>
        <v>junho</v>
      </c>
      <c r="C166" s="23">
        <f>DAY(Tabela135[[#This Row],[Vencimento]])</f>
        <v>20</v>
      </c>
      <c r="D166" s="24">
        <v>45463</v>
      </c>
      <c r="E166" s="33">
        <v>45463</v>
      </c>
      <c r="F166" s="34">
        <v>100</v>
      </c>
      <c r="G166" s="35" t="s">
        <v>20</v>
      </c>
      <c r="H166" s="32" t="s">
        <v>11</v>
      </c>
      <c r="I166" s="32" t="s">
        <v>12</v>
      </c>
      <c r="J166" s="28" t="s">
        <v>13</v>
      </c>
      <c r="K166" s="27" t="str" cm="1">
        <f t="array" aca="1" ref="K16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67" spans="1:11" x14ac:dyDescent="0.35">
      <c r="A167" s="22">
        <f>YEAR(Tabela135[[#This Row],[Vencimento]])</f>
        <v>2024</v>
      </c>
      <c r="B167" s="23" t="str">
        <f>TEXT(D167,"mmmm")</f>
        <v>junho</v>
      </c>
      <c r="C167" s="23">
        <f>DAY(Tabela135[[#This Row],[Vencimento]])</f>
        <v>20</v>
      </c>
      <c r="D167" s="24">
        <v>45463</v>
      </c>
      <c r="E167" s="33">
        <v>45463</v>
      </c>
      <c r="F167" s="34">
        <v>980</v>
      </c>
      <c r="G167" s="35" t="s">
        <v>18</v>
      </c>
      <c r="H167" s="32" t="s">
        <v>42</v>
      </c>
      <c r="I167" s="32" t="s">
        <v>15</v>
      </c>
      <c r="J167" s="28" t="s">
        <v>13</v>
      </c>
      <c r="K167" s="27" t="str" cm="1">
        <f t="array" aca="1" ref="K16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68" spans="1:11" x14ac:dyDescent="0.35">
      <c r="A168" s="22">
        <f>YEAR(Tabela135[[#This Row],[Vencimento]])</f>
        <v>2024</v>
      </c>
      <c r="B168" s="23" t="str">
        <f>TEXT(D168,"mmmm")</f>
        <v>junho</v>
      </c>
      <c r="C168" s="23">
        <f>DAY(Tabela135[[#This Row],[Vencimento]])</f>
        <v>20</v>
      </c>
      <c r="D168" s="24">
        <v>45463</v>
      </c>
      <c r="E168" s="33">
        <v>45463</v>
      </c>
      <c r="F168" s="34">
        <v>100</v>
      </c>
      <c r="G168" s="35" t="s">
        <v>43</v>
      </c>
      <c r="H168" s="32" t="s">
        <v>44</v>
      </c>
      <c r="I168" s="32" t="s">
        <v>12</v>
      </c>
      <c r="J168" s="28" t="s">
        <v>13</v>
      </c>
      <c r="K168" s="27" t="str" cm="1">
        <f t="array" aca="1" ref="K16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69" spans="1:11" x14ac:dyDescent="0.35">
      <c r="A169" s="22">
        <f>YEAR(Tabela135[[#This Row],[Vencimento]])</f>
        <v>2024</v>
      </c>
      <c r="B169" s="23" t="str">
        <f>TEXT(D169,"mmmm")</f>
        <v>junho</v>
      </c>
      <c r="C169" s="23">
        <f>DAY(Tabela135[[#This Row],[Vencimento]])</f>
        <v>5</v>
      </c>
      <c r="D169" s="24">
        <v>45448</v>
      </c>
      <c r="E169" s="33">
        <v>45448</v>
      </c>
      <c r="F169" s="34">
        <v>2500</v>
      </c>
      <c r="G169" s="35" t="s">
        <v>45</v>
      </c>
      <c r="H169" s="32" t="s">
        <v>11</v>
      </c>
      <c r="I169" s="32" t="s">
        <v>12</v>
      </c>
      <c r="J169" s="28" t="s">
        <v>13</v>
      </c>
      <c r="K169" s="27" t="str" cm="1">
        <f t="array" aca="1" ref="K16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0" spans="1:11" x14ac:dyDescent="0.35">
      <c r="A170" s="22">
        <f>YEAR(Tabela135[[#This Row],[Vencimento]])</f>
        <v>2024</v>
      </c>
      <c r="B170" s="23" t="str">
        <f>TEXT(D170,"mmmm")</f>
        <v>junho</v>
      </c>
      <c r="C170" s="23">
        <f>DAY(Tabela135[[#This Row],[Vencimento]])</f>
        <v>20</v>
      </c>
      <c r="D170" s="24">
        <v>45463</v>
      </c>
      <c r="E170" s="33">
        <v>45463</v>
      </c>
      <c r="F170" s="34">
        <v>800</v>
      </c>
      <c r="G170" s="35" t="s">
        <v>46</v>
      </c>
      <c r="H170" s="32" t="s">
        <v>47</v>
      </c>
      <c r="I170" s="32" t="s">
        <v>12</v>
      </c>
      <c r="J170" s="28" t="s">
        <v>13</v>
      </c>
      <c r="K170" s="27" t="str" cm="1">
        <f t="array" aca="1" ref="K17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1" spans="1:11" x14ac:dyDescent="0.35">
      <c r="A171" s="22">
        <f>YEAR(Tabela135[[#This Row],[Vencimento]])</f>
        <v>2024</v>
      </c>
      <c r="B171" s="23" t="str">
        <f>TEXT(D171,"mmmm")</f>
        <v>junho</v>
      </c>
      <c r="C171" s="23">
        <f>DAY(Tabela135[[#This Row],[Vencimento]])</f>
        <v>20</v>
      </c>
      <c r="D171" s="24">
        <v>45463</v>
      </c>
      <c r="E171" s="33">
        <v>45463</v>
      </c>
      <c r="F171" s="34">
        <v>1000</v>
      </c>
      <c r="G171" s="35" t="s">
        <v>48</v>
      </c>
      <c r="H171" s="32" t="s">
        <v>49</v>
      </c>
      <c r="I171" s="32" t="s">
        <v>12</v>
      </c>
      <c r="J171" s="28" t="s">
        <v>13</v>
      </c>
      <c r="K171" s="27" t="str" cm="1">
        <f t="array" aca="1" ref="K17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2" spans="1:11" x14ac:dyDescent="0.35">
      <c r="A172" s="22">
        <f>YEAR(Tabela135[[#This Row],[Vencimento]])</f>
        <v>2024</v>
      </c>
      <c r="B172" s="23" t="str">
        <f>TEXT(D172,"mmmm")</f>
        <v>junho</v>
      </c>
      <c r="C172" s="23">
        <f>DAY(Tabela135[[#This Row],[Vencimento]])</f>
        <v>20</v>
      </c>
      <c r="D172" s="24">
        <v>45463</v>
      </c>
      <c r="E172" s="33">
        <v>45463</v>
      </c>
      <c r="F172" s="34">
        <v>345</v>
      </c>
      <c r="G172" s="35" t="s">
        <v>50</v>
      </c>
      <c r="H172" s="32" t="s">
        <v>42</v>
      </c>
      <c r="I172" s="32" t="s">
        <v>15</v>
      </c>
      <c r="J172" s="28" t="s">
        <v>13</v>
      </c>
      <c r="K172" s="27" t="str" cm="1">
        <f t="array" aca="1" ref="K17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3" spans="1:11" x14ac:dyDescent="0.35">
      <c r="A173" s="32">
        <f>YEAR(Tabela135[[#This Row],[Vencimento]])</f>
        <v>2024</v>
      </c>
      <c r="B173" s="28" t="str">
        <f>TEXT(D173,"mmmm")</f>
        <v>maio</v>
      </c>
      <c r="C173" s="28">
        <f>DAY(Tabela135[[#This Row],[Vencimento]])</f>
        <v>5</v>
      </c>
      <c r="D173" s="24">
        <v>45417</v>
      </c>
      <c r="E173" s="33">
        <v>45417</v>
      </c>
      <c r="F173" s="34">
        <v>160</v>
      </c>
      <c r="G173" s="35" t="s">
        <v>21</v>
      </c>
      <c r="H173" s="32" t="s">
        <v>11</v>
      </c>
      <c r="I173" s="32" t="s">
        <v>12</v>
      </c>
      <c r="J173" s="28" t="s">
        <v>13</v>
      </c>
      <c r="K173" s="28" t="str" cm="1">
        <f t="array" aca="1" ref="K17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4" spans="1:11" x14ac:dyDescent="0.35">
      <c r="A174" s="19">
        <f>YEAR(Tabela135[[#This Row],[Vencimento]])</f>
        <v>2024</v>
      </c>
      <c r="B174" s="20" t="str">
        <f>TEXT(D174,"mmmm")</f>
        <v>maio</v>
      </c>
      <c r="C174" s="20">
        <f>DAY(Tabela135[[#This Row],[Vencimento]])</f>
        <v>5</v>
      </c>
      <c r="D174" s="24">
        <v>45417</v>
      </c>
      <c r="E174" s="33">
        <v>45417</v>
      </c>
      <c r="F174" s="34">
        <v>350</v>
      </c>
      <c r="G174" s="35" t="s">
        <v>10</v>
      </c>
      <c r="H174" s="32" t="s">
        <v>11</v>
      </c>
      <c r="I174" s="32" t="s">
        <v>12</v>
      </c>
      <c r="J174" s="28" t="s">
        <v>13</v>
      </c>
      <c r="K174" s="28" t="str" cm="1">
        <f t="array" aca="1" ref="K17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5" spans="1:11" x14ac:dyDescent="0.35">
      <c r="A175" s="22">
        <f>YEAR(Tabela135[[#This Row],[Vencimento]])</f>
        <v>2024</v>
      </c>
      <c r="B175" s="23" t="str">
        <f>TEXT(D175,"mmmm")</f>
        <v>maio</v>
      </c>
      <c r="C175" s="23">
        <f>DAY(Tabela135[[#This Row],[Vencimento]])</f>
        <v>20</v>
      </c>
      <c r="D175" s="24">
        <v>45432</v>
      </c>
      <c r="E175" s="33">
        <v>45432</v>
      </c>
      <c r="F175" s="34">
        <v>100</v>
      </c>
      <c r="G175" s="35" t="s">
        <v>20</v>
      </c>
      <c r="H175" s="32" t="s">
        <v>11</v>
      </c>
      <c r="I175" s="32" t="s">
        <v>12</v>
      </c>
      <c r="J175" s="28" t="s">
        <v>13</v>
      </c>
      <c r="K175" s="27" t="str" cm="1">
        <f t="array" aca="1" ref="K17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6" spans="1:11" x14ac:dyDescent="0.35">
      <c r="A176" s="22">
        <f>YEAR(Tabela135[[#This Row],[Vencimento]])</f>
        <v>2024</v>
      </c>
      <c r="B176" s="23" t="str">
        <f>TEXT(D176,"mmmm")</f>
        <v>maio</v>
      </c>
      <c r="C176" s="23">
        <f>DAY(Tabela135[[#This Row],[Vencimento]])</f>
        <v>20</v>
      </c>
      <c r="D176" s="24">
        <v>45432</v>
      </c>
      <c r="E176" s="33">
        <v>45432</v>
      </c>
      <c r="F176" s="34">
        <v>110</v>
      </c>
      <c r="G176" s="35" t="s">
        <v>18</v>
      </c>
      <c r="H176" s="32" t="s">
        <v>42</v>
      </c>
      <c r="I176" s="32" t="s">
        <v>15</v>
      </c>
      <c r="J176" s="28" t="s">
        <v>13</v>
      </c>
      <c r="K176" s="27" t="str" cm="1">
        <f t="array" aca="1" ref="K17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7" spans="1:11" x14ac:dyDescent="0.35">
      <c r="A177" s="22">
        <f>YEAR(Tabela135[[#This Row],[Vencimento]])</f>
        <v>2024</v>
      </c>
      <c r="B177" s="23" t="str">
        <f>TEXT(D177,"mmmm")</f>
        <v>maio</v>
      </c>
      <c r="C177" s="23">
        <f>DAY(Tabela135[[#This Row],[Vencimento]])</f>
        <v>20</v>
      </c>
      <c r="D177" s="24">
        <v>45432</v>
      </c>
      <c r="E177" s="33">
        <v>45432</v>
      </c>
      <c r="F177" s="34">
        <v>100</v>
      </c>
      <c r="G177" s="35" t="s">
        <v>43</v>
      </c>
      <c r="H177" s="32" t="s">
        <v>44</v>
      </c>
      <c r="I177" s="32" t="s">
        <v>12</v>
      </c>
      <c r="J177" s="28" t="s">
        <v>13</v>
      </c>
      <c r="K177" s="27" t="str" cm="1">
        <f t="array" aca="1" ref="K17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8" spans="1:11" x14ac:dyDescent="0.35">
      <c r="A178" s="22">
        <f>YEAR(Tabela135[[#This Row],[Vencimento]])</f>
        <v>2024</v>
      </c>
      <c r="B178" s="23" t="str">
        <f>TEXT(D178,"mmmm")</f>
        <v>maio</v>
      </c>
      <c r="C178" s="23">
        <f>DAY(Tabela135[[#This Row],[Vencimento]])</f>
        <v>5</v>
      </c>
      <c r="D178" s="24">
        <v>45417</v>
      </c>
      <c r="E178" s="33">
        <v>45417</v>
      </c>
      <c r="F178" s="34">
        <v>2500</v>
      </c>
      <c r="G178" s="35" t="s">
        <v>45</v>
      </c>
      <c r="H178" s="32" t="s">
        <v>11</v>
      </c>
      <c r="I178" s="32" t="s">
        <v>12</v>
      </c>
      <c r="J178" s="28" t="s">
        <v>13</v>
      </c>
      <c r="K178" s="27" t="str" cm="1">
        <f t="array" aca="1" ref="K17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79" spans="1:11" x14ac:dyDescent="0.35">
      <c r="A179" s="22">
        <f>YEAR(Tabela135[[#This Row],[Vencimento]])</f>
        <v>2024</v>
      </c>
      <c r="B179" s="23" t="str">
        <f>TEXT(D179,"mmmm")</f>
        <v>maio</v>
      </c>
      <c r="C179" s="23">
        <f>DAY(Tabela135[[#This Row],[Vencimento]])</f>
        <v>20</v>
      </c>
      <c r="D179" s="24">
        <v>45432</v>
      </c>
      <c r="E179" s="33">
        <v>45432</v>
      </c>
      <c r="F179" s="34">
        <v>800</v>
      </c>
      <c r="G179" s="35" t="s">
        <v>46</v>
      </c>
      <c r="H179" s="32" t="s">
        <v>47</v>
      </c>
      <c r="I179" s="32" t="s">
        <v>12</v>
      </c>
      <c r="J179" s="28" t="s">
        <v>13</v>
      </c>
      <c r="K179" s="27" t="str" cm="1">
        <f t="array" aca="1" ref="K17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80" spans="1:11" x14ac:dyDescent="0.35">
      <c r="A180" s="22">
        <f>YEAR(Tabela135[[#This Row],[Vencimento]])</f>
        <v>2024</v>
      </c>
      <c r="B180" s="23" t="str">
        <f>TEXT(D180,"mmmm")</f>
        <v>maio</v>
      </c>
      <c r="C180" s="23">
        <f>DAY(Tabela135[[#This Row],[Vencimento]])</f>
        <v>20</v>
      </c>
      <c r="D180" s="24">
        <v>45432</v>
      </c>
      <c r="E180" s="33">
        <v>45432</v>
      </c>
      <c r="F180" s="34">
        <v>1000</v>
      </c>
      <c r="G180" s="35" t="s">
        <v>48</v>
      </c>
      <c r="H180" s="32" t="s">
        <v>49</v>
      </c>
      <c r="I180" s="32" t="s">
        <v>12</v>
      </c>
      <c r="J180" s="28" t="s">
        <v>13</v>
      </c>
      <c r="K180" s="27" t="str" cm="1">
        <f t="array" aca="1" ref="K18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81" spans="1:11" x14ac:dyDescent="0.35">
      <c r="A181" s="22">
        <f>YEAR(Tabela135[[#This Row],[Vencimento]])</f>
        <v>2024</v>
      </c>
      <c r="B181" s="23" t="str">
        <f>TEXT(D181,"mmmm")</f>
        <v>maio</v>
      </c>
      <c r="C181" s="23">
        <f>DAY(Tabela135[[#This Row],[Vencimento]])</f>
        <v>20</v>
      </c>
      <c r="D181" s="24">
        <v>45432</v>
      </c>
      <c r="E181" s="33">
        <v>45432</v>
      </c>
      <c r="F181" s="34">
        <v>123</v>
      </c>
      <c r="G181" s="35" t="s">
        <v>50</v>
      </c>
      <c r="H181" s="32" t="s">
        <v>42</v>
      </c>
      <c r="I181" s="32" t="s">
        <v>15</v>
      </c>
      <c r="J181" s="28" t="s">
        <v>13</v>
      </c>
      <c r="K181" s="27" t="str" cm="1">
        <f t="array" aca="1" ref="K18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82" spans="1:11" x14ac:dyDescent="0.35">
      <c r="A182" s="32">
        <f>YEAR(Tabela135[[#This Row],[Vencimento]])</f>
        <v>2024</v>
      </c>
      <c r="B182" s="28" t="str">
        <f>TEXT(D182,"mmmm")</f>
        <v>março</v>
      </c>
      <c r="C182" s="28">
        <f>DAY(Tabela135[[#This Row],[Vencimento]])</f>
        <v>5</v>
      </c>
      <c r="D182" s="24">
        <v>45356</v>
      </c>
      <c r="E182" s="33">
        <v>45356</v>
      </c>
      <c r="F182" s="34">
        <v>160</v>
      </c>
      <c r="G182" s="35" t="s">
        <v>21</v>
      </c>
      <c r="H182" s="32" t="s">
        <v>11</v>
      </c>
      <c r="I182" s="32" t="s">
        <v>12</v>
      </c>
      <c r="J182" s="28" t="s">
        <v>13</v>
      </c>
      <c r="K182" s="28" t="str" cm="1">
        <f t="array" aca="1" ref="K18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83" spans="1:11" x14ac:dyDescent="0.35">
      <c r="A183" s="19">
        <f>YEAR(Tabela135[[#This Row],[Vencimento]])</f>
        <v>2024</v>
      </c>
      <c r="B183" s="20" t="str">
        <f>TEXT(D183,"mmmm")</f>
        <v>março</v>
      </c>
      <c r="C183" s="20">
        <f>DAY(Tabela135[[#This Row],[Vencimento]])</f>
        <v>5</v>
      </c>
      <c r="D183" s="24">
        <v>45356</v>
      </c>
      <c r="E183" s="33">
        <v>45356</v>
      </c>
      <c r="F183" s="34">
        <v>350</v>
      </c>
      <c r="G183" s="35" t="s">
        <v>10</v>
      </c>
      <c r="H183" s="32" t="s">
        <v>11</v>
      </c>
      <c r="I183" s="32" t="s">
        <v>12</v>
      </c>
      <c r="J183" s="28" t="s">
        <v>13</v>
      </c>
      <c r="K183" s="28" t="str" cm="1">
        <f t="array" aca="1" ref="K18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84" spans="1:11" x14ac:dyDescent="0.35">
      <c r="A184" s="22">
        <f>YEAR(Tabela135[[#This Row],[Vencimento]])</f>
        <v>2024</v>
      </c>
      <c r="B184" s="23" t="str">
        <f>TEXT(D184,"mmmm")</f>
        <v>março</v>
      </c>
      <c r="C184" s="23">
        <f>DAY(Tabela135[[#This Row],[Vencimento]])</f>
        <v>20</v>
      </c>
      <c r="D184" s="24">
        <v>45371</v>
      </c>
      <c r="E184" s="33">
        <v>45371</v>
      </c>
      <c r="F184" s="34">
        <v>100</v>
      </c>
      <c r="G184" s="35" t="s">
        <v>20</v>
      </c>
      <c r="H184" s="32" t="s">
        <v>11</v>
      </c>
      <c r="I184" s="32" t="s">
        <v>12</v>
      </c>
      <c r="J184" s="28" t="s">
        <v>13</v>
      </c>
      <c r="K184" s="27" t="str" cm="1">
        <f t="array" aca="1" ref="K18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85" spans="1:11" x14ac:dyDescent="0.35">
      <c r="A185" s="22">
        <f>YEAR(Tabela135[[#This Row],[Vencimento]])</f>
        <v>2024</v>
      </c>
      <c r="B185" s="23" t="str">
        <f>TEXT(D185,"mmmm")</f>
        <v>março</v>
      </c>
      <c r="C185" s="23">
        <f>DAY(Tabela135[[#This Row],[Vencimento]])</f>
        <v>20</v>
      </c>
      <c r="D185" s="24">
        <v>45371</v>
      </c>
      <c r="E185" s="33">
        <v>45371</v>
      </c>
      <c r="F185" s="34">
        <v>356</v>
      </c>
      <c r="G185" s="35" t="s">
        <v>18</v>
      </c>
      <c r="H185" s="32" t="s">
        <v>42</v>
      </c>
      <c r="I185" s="32" t="s">
        <v>15</v>
      </c>
      <c r="J185" s="28" t="s">
        <v>13</v>
      </c>
      <c r="K185" s="27" t="str" cm="1">
        <f t="array" aca="1" ref="K18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86" spans="1:11" x14ac:dyDescent="0.35">
      <c r="A186" s="22">
        <f>YEAR(Tabela135[[#This Row],[Vencimento]])</f>
        <v>2024</v>
      </c>
      <c r="B186" s="23" t="str">
        <f>TEXT(D186,"mmmm")</f>
        <v>março</v>
      </c>
      <c r="C186" s="23">
        <f>DAY(Tabela135[[#This Row],[Vencimento]])</f>
        <v>20</v>
      </c>
      <c r="D186" s="24">
        <v>45371</v>
      </c>
      <c r="E186" s="33">
        <v>45371</v>
      </c>
      <c r="F186" s="34">
        <v>100</v>
      </c>
      <c r="G186" s="35" t="s">
        <v>43</v>
      </c>
      <c r="H186" s="32" t="s">
        <v>44</v>
      </c>
      <c r="I186" s="32" t="s">
        <v>12</v>
      </c>
      <c r="J186" s="28" t="s">
        <v>13</v>
      </c>
      <c r="K186" s="27" t="str" cm="1">
        <f t="array" aca="1" ref="K18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87" spans="1:11" x14ac:dyDescent="0.35">
      <c r="A187" s="22">
        <f>YEAR(Tabela135[[#This Row],[Vencimento]])</f>
        <v>2024</v>
      </c>
      <c r="B187" s="23" t="str">
        <f>TEXT(D187,"mmmm")</f>
        <v>março</v>
      </c>
      <c r="C187" s="23">
        <f>DAY(Tabela135[[#This Row],[Vencimento]])</f>
        <v>5</v>
      </c>
      <c r="D187" s="24">
        <v>45356</v>
      </c>
      <c r="E187" s="33">
        <v>45356</v>
      </c>
      <c r="F187" s="34">
        <v>2500</v>
      </c>
      <c r="G187" s="35" t="s">
        <v>45</v>
      </c>
      <c r="H187" s="32" t="s">
        <v>11</v>
      </c>
      <c r="I187" s="32" t="s">
        <v>12</v>
      </c>
      <c r="J187" s="28" t="s">
        <v>13</v>
      </c>
      <c r="K187" s="27" t="str" cm="1">
        <f t="array" aca="1" ref="K18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88" spans="1:11" x14ac:dyDescent="0.35">
      <c r="A188" s="22">
        <f>YEAR(Tabela135[[#This Row],[Vencimento]])</f>
        <v>2024</v>
      </c>
      <c r="B188" s="23" t="str">
        <f>TEXT(D188,"mmmm")</f>
        <v>março</v>
      </c>
      <c r="C188" s="23">
        <f>DAY(Tabela135[[#This Row],[Vencimento]])</f>
        <v>20</v>
      </c>
      <c r="D188" s="24">
        <v>45371</v>
      </c>
      <c r="E188" s="33">
        <v>45371</v>
      </c>
      <c r="F188" s="34">
        <v>800</v>
      </c>
      <c r="G188" s="35" t="s">
        <v>46</v>
      </c>
      <c r="H188" s="32" t="s">
        <v>47</v>
      </c>
      <c r="I188" s="32" t="s">
        <v>12</v>
      </c>
      <c r="J188" s="28" t="s">
        <v>13</v>
      </c>
      <c r="K188" s="27" t="str" cm="1">
        <f t="array" aca="1" ref="K18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89" spans="1:11" x14ac:dyDescent="0.35">
      <c r="A189" s="22">
        <f>YEAR(Tabela135[[#This Row],[Vencimento]])</f>
        <v>2024</v>
      </c>
      <c r="B189" s="23" t="str">
        <f>TEXT(D189,"mmmm")</f>
        <v>março</v>
      </c>
      <c r="C189" s="23">
        <f>DAY(Tabela135[[#This Row],[Vencimento]])</f>
        <v>20</v>
      </c>
      <c r="D189" s="24">
        <v>45371</v>
      </c>
      <c r="E189" s="33">
        <v>45371</v>
      </c>
      <c r="F189" s="34">
        <v>1000</v>
      </c>
      <c r="G189" s="35" t="s">
        <v>48</v>
      </c>
      <c r="H189" s="32" t="s">
        <v>49</v>
      </c>
      <c r="I189" s="32" t="s">
        <v>12</v>
      </c>
      <c r="J189" s="28" t="s">
        <v>13</v>
      </c>
      <c r="K189" s="27" t="str" cm="1">
        <f t="array" aca="1" ref="K18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90" spans="1:11" x14ac:dyDescent="0.35">
      <c r="A190" s="22">
        <f>YEAR(Tabela135[[#This Row],[Vencimento]])</f>
        <v>2024</v>
      </c>
      <c r="B190" s="23" t="str">
        <f>TEXT(D190,"mmmm")</f>
        <v>março</v>
      </c>
      <c r="C190" s="23">
        <f>DAY(Tabela135[[#This Row],[Vencimento]])</f>
        <v>20</v>
      </c>
      <c r="D190" s="24">
        <v>45371</v>
      </c>
      <c r="E190" s="33">
        <v>45371</v>
      </c>
      <c r="F190" s="34">
        <v>356</v>
      </c>
      <c r="G190" s="35" t="s">
        <v>50</v>
      </c>
      <c r="H190" s="32" t="s">
        <v>42</v>
      </c>
      <c r="I190" s="32" t="s">
        <v>15</v>
      </c>
      <c r="J190" s="28" t="s">
        <v>13</v>
      </c>
      <c r="K190" s="27" t="str" cm="1">
        <f t="array" aca="1" ref="K19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91" spans="1:11" x14ac:dyDescent="0.35">
      <c r="A191" s="32">
        <f>YEAR(Tabela135[[#This Row],[Vencimento]])</f>
        <v>2024</v>
      </c>
      <c r="B191" s="28" t="str">
        <f>TEXT(D191,"mmmm")</f>
        <v>novembro</v>
      </c>
      <c r="C191" s="28">
        <f>DAY(Tabela135[[#This Row],[Vencimento]])</f>
        <v>5</v>
      </c>
      <c r="D191" s="24">
        <v>45601</v>
      </c>
      <c r="E191" s="33">
        <v>45601</v>
      </c>
      <c r="F191" s="34">
        <v>160</v>
      </c>
      <c r="G191" s="35" t="s">
        <v>21</v>
      </c>
      <c r="H191" s="32" t="s">
        <v>11</v>
      </c>
      <c r="I191" s="32" t="s">
        <v>12</v>
      </c>
      <c r="J191" s="28" t="s">
        <v>13</v>
      </c>
      <c r="K191" s="28" t="str" cm="1">
        <f t="array" aca="1" ref="K19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92" spans="1:11" x14ac:dyDescent="0.35">
      <c r="A192" s="19">
        <f>YEAR(Tabela135[[#This Row],[Vencimento]])</f>
        <v>2024</v>
      </c>
      <c r="B192" s="20" t="str">
        <f>TEXT(D192,"mmmm")</f>
        <v>novembro</v>
      </c>
      <c r="C192" s="20">
        <f>DAY(Tabela135[[#This Row],[Vencimento]])</f>
        <v>5</v>
      </c>
      <c r="D192" s="24">
        <v>45601</v>
      </c>
      <c r="E192" s="33">
        <v>45601</v>
      </c>
      <c r="F192" s="34">
        <v>350</v>
      </c>
      <c r="G192" s="35" t="s">
        <v>10</v>
      </c>
      <c r="H192" s="32" t="s">
        <v>11</v>
      </c>
      <c r="I192" s="32" t="s">
        <v>12</v>
      </c>
      <c r="J192" s="28" t="s">
        <v>13</v>
      </c>
      <c r="K192" s="28" t="str" cm="1">
        <f t="array" aca="1" ref="K19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93" spans="1:11" x14ac:dyDescent="0.35">
      <c r="A193" s="42">
        <f>YEAR(Tabela135[[#This Row],[Vencimento]])</f>
        <v>2024</v>
      </c>
      <c r="B193" s="25" t="str">
        <f>TEXT(D193,"mmmm")</f>
        <v>novembro</v>
      </c>
      <c r="C193" s="25">
        <f>DAY(Tabela135[[#This Row],[Vencimento]])</f>
        <v>20</v>
      </c>
      <c r="D193" s="40">
        <v>45616</v>
      </c>
      <c r="E193" s="36">
        <v>45622</v>
      </c>
      <c r="F193" s="37">
        <v>100</v>
      </c>
      <c r="G193" s="35" t="s">
        <v>20</v>
      </c>
      <c r="H193" s="32" t="s">
        <v>11</v>
      </c>
      <c r="I193" s="32" t="s">
        <v>12</v>
      </c>
      <c r="J193" s="31" t="s">
        <v>13</v>
      </c>
      <c r="K193" s="38" t="str" cm="1">
        <f t="array" aca="1" ref="K19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94" spans="1:11" x14ac:dyDescent="0.35">
      <c r="A194" s="22">
        <f>YEAR(Tabela135[[#This Row],[Vencimento]])</f>
        <v>2024</v>
      </c>
      <c r="B194" s="23" t="str">
        <f>TEXT(D194,"mmmm")</f>
        <v>novembro</v>
      </c>
      <c r="C194" s="23">
        <f>DAY(Tabela135[[#This Row],[Vencimento]])</f>
        <v>20</v>
      </c>
      <c r="D194" s="24">
        <v>45616</v>
      </c>
      <c r="E194" s="33">
        <v>45622</v>
      </c>
      <c r="F194" s="34">
        <v>987</v>
      </c>
      <c r="G194" s="35" t="s">
        <v>18</v>
      </c>
      <c r="H194" s="32" t="s">
        <v>42</v>
      </c>
      <c r="I194" s="32" t="s">
        <v>15</v>
      </c>
      <c r="J194" s="28" t="s">
        <v>13</v>
      </c>
      <c r="K194" s="27" t="str" cm="1">
        <f t="array" aca="1" ref="K19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95" spans="1:11" x14ac:dyDescent="0.35">
      <c r="A195" s="22">
        <f>YEAR(Tabela135[[#This Row],[Vencimento]])</f>
        <v>2024</v>
      </c>
      <c r="B195" s="23" t="str">
        <f>TEXT(D195,"mmmm")</f>
        <v>novembro</v>
      </c>
      <c r="C195" s="23">
        <f>DAY(Tabela135[[#This Row],[Vencimento]])</f>
        <v>20</v>
      </c>
      <c r="D195" s="24">
        <v>45616</v>
      </c>
      <c r="E195" s="33">
        <v>45622</v>
      </c>
      <c r="F195" s="34">
        <v>100</v>
      </c>
      <c r="G195" s="35" t="s">
        <v>43</v>
      </c>
      <c r="H195" s="32" t="s">
        <v>44</v>
      </c>
      <c r="I195" s="32" t="s">
        <v>12</v>
      </c>
      <c r="J195" s="28" t="s">
        <v>13</v>
      </c>
      <c r="K195" s="27" t="str" cm="1">
        <f t="array" aca="1" ref="K19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96" spans="1:11" x14ac:dyDescent="0.35">
      <c r="A196" s="22">
        <f>YEAR(Tabela135[[#This Row],[Vencimento]])</f>
        <v>2024</v>
      </c>
      <c r="B196" s="23" t="str">
        <f>TEXT(D196,"mmmm")</f>
        <v>novembro</v>
      </c>
      <c r="C196" s="23">
        <f>DAY(Tabela135[[#This Row],[Vencimento]])</f>
        <v>5</v>
      </c>
      <c r="D196" s="24">
        <v>45601</v>
      </c>
      <c r="E196" s="33">
        <v>45601</v>
      </c>
      <c r="F196" s="34">
        <v>2500</v>
      </c>
      <c r="G196" s="35" t="s">
        <v>45</v>
      </c>
      <c r="H196" s="32" t="s">
        <v>11</v>
      </c>
      <c r="I196" s="32" t="s">
        <v>12</v>
      </c>
      <c r="J196" s="28" t="s">
        <v>13</v>
      </c>
      <c r="K196" s="27" t="str" cm="1">
        <f t="array" aca="1" ref="K19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197" spans="1:11" x14ac:dyDescent="0.35">
      <c r="A197" s="22">
        <f>YEAR(Tabela135[[#This Row],[Vencimento]])</f>
        <v>2024</v>
      </c>
      <c r="B197" s="23" t="str">
        <f>TEXT(D197,"mmmm")</f>
        <v>novembro</v>
      </c>
      <c r="C197" s="23">
        <f>DAY(Tabela135[[#This Row],[Vencimento]])</f>
        <v>20</v>
      </c>
      <c r="D197" s="24">
        <v>45616</v>
      </c>
      <c r="E197" s="33">
        <v>45622</v>
      </c>
      <c r="F197" s="34">
        <v>800</v>
      </c>
      <c r="G197" s="35" t="s">
        <v>46</v>
      </c>
      <c r="H197" s="32" t="s">
        <v>47</v>
      </c>
      <c r="I197" s="32" t="s">
        <v>12</v>
      </c>
      <c r="J197" s="28" t="s">
        <v>13</v>
      </c>
      <c r="K197" s="27" t="str" cm="1">
        <f t="array" aca="1" ref="K19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98" spans="1:11" x14ac:dyDescent="0.35">
      <c r="A198" s="22">
        <f>YEAR(Tabela135[[#This Row],[Vencimento]])</f>
        <v>2024</v>
      </c>
      <c r="B198" s="23" t="str">
        <f>TEXT(D198,"mmmm")</f>
        <v>novembro</v>
      </c>
      <c r="C198" s="23">
        <f>DAY(Tabela135[[#This Row],[Vencimento]])</f>
        <v>20</v>
      </c>
      <c r="D198" s="24">
        <v>45616</v>
      </c>
      <c r="E198" s="33">
        <v>45622</v>
      </c>
      <c r="F198" s="34">
        <v>1000</v>
      </c>
      <c r="G198" s="35" t="s">
        <v>48</v>
      </c>
      <c r="H198" s="32" t="s">
        <v>49</v>
      </c>
      <c r="I198" s="32" t="s">
        <v>12</v>
      </c>
      <c r="J198" s="28" t="s">
        <v>13</v>
      </c>
      <c r="K198" s="27" t="str" cm="1">
        <f t="array" aca="1" ref="K19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199" spans="1:11" x14ac:dyDescent="0.35">
      <c r="A199" s="22">
        <f>YEAR(Tabela135[[#This Row],[Vencimento]])</f>
        <v>2024</v>
      </c>
      <c r="B199" s="23" t="str">
        <f>TEXT(D199,"mmmm")</f>
        <v>novembro</v>
      </c>
      <c r="C199" s="23">
        <f>DAY(Tabela135[[#This Row],[Vencimento]])</f>
        <v>20</v>
      </c>
      <c r="D199" s="24">
        <v>45616</v>
      </c>
      <c r="E199" s="33">
        <v>45622</v>
      </c>
      <c r="F199" s="34">
        <v>268</v>
      </c>
      <c r="G199" s="35" t="s">
        <v>50</v>
      </c>
      <c r="H199" s="32" t="s">
        <v>42</v>
      </c>
      <c r="I199" s="32" t="s">
        <v>15</v>
      </c>
      <c r="J199" s="28" t="s">
        <v>13</v>
      </c>
      <c r="K199" s="27" t="str" cm="1">
        <f t="array" aca="1" ref="K19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00" spans="1:11" x14ac:dyDescent="0.35">
      <c r="A200" s="32">
        <f>YEAR(Tabela135[[#This Row],[Vencimento]])</f>
        <v>2024</v>
      </c>
      <c r="B200" s="28" t="str">
        <f>TEXT(D200,"mmmm")</f>
        <v>outubro</v>
      </c>
      <c r="C200" s="28">
        <f>DAY(Tabela135[[#This Row],[Vencimento]])</f>
        <v>5</v>
      </c>
      <c r="D200" s="24">
        <v>45570</v>
      </c>
      <c r="E200" s="33">
        <v>45570</v>
      </c>
      <c r="F200" s="34">
        <v>160</v>
      </c>
      <c r="G200" s="35" t="s">
        <v>21</v>
      </c>
      <c r="H200" s="32" t="s">
        <v>11</v>
      </c>
      <c r="I200" s="32" t="s">
        <v>12</v>
      </c>
      <c r="J200" s="28" t="s">
        <v>13</v>
      </c>
      <c r="K200" s="28" t="str" cm="1">
        <f t="array" aca="1" ref="K20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01" spans="1:11" x14ac:dyDescent="0.35">
      <c r="A201" s="19">
        <f>YEAR(Tabela135[[#This Row],[Vencimento]])</f>
        <v>2024</v>
      </c>
      <c r="B201" s="20" t="str">
        <f>TEXT(D201,"mmmm")</f>
        <v>outubro</v>
      </c>
      <c r="C201" s="20">
        <f>DAY(Tabela135[[#This Row],[Vencimento]])</f>
        <v>5</v>
      </c>
      <c r="D201" s="24">
        <v>45570</v>
      </c>
      <c r="E201" s="33">
        <v>45570</v>
      </c>
      <c r="F201" s="34">
        <v>350</v>
      </c>
      <c r="G201" s="35" t="s">
        <v>10</v>
      </c>
      <c r="H201" s="32" t="s">
        <v>11</v>
      </c>
      <c r="I201" s="32" t="s">
        <v>12</v>
      </c>
      <c r="J201" s="28" t="s">
        <v>13</v>
      </c>
      <c r="K201" s="28" t="str" cm="1">
        <f t="array" aca="1" ref="K20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02" spans="1:11" x14ac:dyDescent="0.35">
      <c r="A202" s="22">
        <f>YEAR(Tabela135[[#This Row],[Vencimento]])</f>
        <v>2024</v>
      </c>
      <c r="B202" s="23" t="str">
        <f>TEXT(D202,"mmmm")</f>
        <v>outubro</v>
      </c>
      <c r="C202" s="23">
        <f>DAY(Tabela135[[#This Row],[Vencimento]])</f>
        <v>20</v>
      </c>
      <c r="D202" s="24">
        <v>45585</v>
      </c>
      <c r="E202" s="33">
        <v>45586</v>
      </c>
      <c r="F202" s="34">
        <v>100</v>
      </c>
      <c r="G202" s="35" t="s">
        <v>20</v>
      </c>
      <c r="H202" s="32" t="s">
        <v>11</v>
      </c>
      <c r="I202" s="32" t="s">
        <v>12</v>
      </c>
      <c r="J202" s="28" t="s">
        <v>13</v>
      </c>
      <c r="K202" s="27" t="str" cm="1">
        <f t="array" aca="1" ref="K20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03" spans="1:11" x14ac:dyDescent="0.35">
      <c r="A203" s="22">
        <f>YEAR(Tabela135[[#This Row],[Vencimento]])</f>
        <v>2024</v>
      </c>
      <c r="B203" s="23" t="str">
        <f>TEXT(D203,"mmmm")</f>
        <v>outubro</v>
      </c>
      <c r="C203" s="23">
        <f>DAY(Tabela135[[#This Row],[Vencimento]])</f>
        <v>20</v>
      </c>
      <c r="D203" s="24">
        <v>45585</v>
      </c>
      <c r="E203" s="33">
        <v>45586</v>
      </c>
      <c r="F203" s="34">
        <v>277</v>
      </c>
      <c r="G203" s="35" t="s">
        <v>18</v>
      </c>
      <c r="H203" s="32" t="s">
        <v>42</v>
      </c>
      <c r="I203" s="32" t="s">
        <v>15</v>
      </c>
      <c r="J203" s="28" t="s">
        <v>13</v>
      </c>
      <c r="K203" s="27" t="str" cm="1">
        <f t="array" aca="1" ref="K20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04" spans="1:11" x14ac:dyDescent="0.35">
      <c r="A204" s="22">
        <f>YEAR(Tabela135[[#This Row],[Vencimento]])</f>
        <v>2024</v>
      </c>
      <c r="B204" s="23" t="str">
        <f>TEXT(D204,"mmmm")</f>
        <v>outubro</v>
      </c>
      <c r="C204" s="23">
        <f>DAY(Tabela135[[#This Row],[Vencimento]])</f>
        <v>20</v>
      </c>
      <c r="D204" s="24">
        <v>45585</v>
      </c>
      <c r="E204" s="33">
        <v>45586</v>
      </c>
      <c r="F204" s="34">
        <v>100</v>
      </c>
      <c r="G204" s="35" t="s">
        <v>43</v>
      </c>
      <c r="H204" s="32" t="s">
        <v>44</v>
      </c>
      <c r="I204" s="32" t="s">
        <v>12</v>
      </c>
      <c r="J204" s="28" t="s">
        <v>13</v>
      </c>
      <c r="K204" s="27" t="str" cm="1">
        <f t="array" aca="1" ref="K20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05" spans="1:11" x14ac:dyDescent="0.35">
      <c r="A205" s="22">
        <f>YEAR(Tabela135[[#This Row],[Vencimento]])</f>
        <v>2024</v>
      </c>
      <c r="B205" s="23" t="str">
        <f>TEXT(D205,"mmmm")</f>
        <v>outubro</v>
      </c>
      <c r="C205" s="23">
        <f>DAY(Tabela135[[#This Row],[Vencimento]])</f>
        <v>5</v>
      </c>
      <c r="D205" s="24">
        <v>45570</v>
      </c>
      <c r="E205" s="33">
        <v>45570</v>
      </c>
      <c r="F205" s="34">
        <v>2500</v>
      </c>
      <c r="G205" s="35" t="s">
        <v>45</v>
      </c>
      <c r="H205" s="32" t="s">
        <v>11</v>
      </c>
      <c r="I205" s="32" t="s">
        <v>12</v>
      </c>
      <c r="J205" s="28" t="s">
        <v>13</v>
      </c>
      <c r="K205" s="27" t="str" cm="1">
        <f t="array" aca="1" ref="K20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06" spans="1:11" x14ac:dyDescent="0.35">
      <c r="A206" s="22">
        <f>YEAR(Tabela135[[#This Row],[Vencimento]])</f>
        <v>2024</v>
      </c>
      <c r="B206" s="23" t="str">
        <f>TEXT(D206,"mmmm")</f>
        <v>outubro</v>
      </c>
      <c r="C206" s="23">
        <f>DAY(Tabela135[[#This Row],[Vencimento]])</f>
        <v>20</v>
      </c>
      <c r="D206" s="24">
        <v>45585</v>
      </c>
      <c r="E206" s="33">
        <v>45586</v>
      </c>
      <c r="F206" s="34">
        <v>800</v>
      </c>
      <c r="G206" s="35" t="s">
        <v>46</v>
      </c>
      <c r="H206" s="32" t="s">
        <v>47</v>
      </c>
      <c r="I206" s="32" t="s">
        <v>12</v>
      </c>
      <c r="J206" s="28" t="s">
        <v>13</v>
      </c>
      <c r="K206" s="27" t="str" cm="1">
        <f t="array" aca="1" ref="K20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07" spans="1:11" x14ac:dyDescent="0.35">
      <c r="A207" s="22">
        <f>YEAR(Tabela135[[#This Row],[Vencimento]])</f>
        <v>2024</v>
      </c>
      <c r="B207" s="23" t="str">
        <f>TEXT(D207,"mmmm")</f>
        <v>outubro</v>
      </c>
      <c r="C207" s="23">
        <f>DAY(Tabela135[[#This Row],[Vencimento]])</f>
        <v>20</v>
      </c>
      <c r="D207" s="24">
        <v>45585</v>
      </c>
      <c r="E207" s="33">
        <v>45586</v>
      </c>
      <c r="F207" s="34">
        <v>1000</v>
      </c>
      <c r="G207" s="35" t="s">
        <v>48</v>
      </c>
      <c r="H207" s="32" t="s">
        <v>49</v>
      </c>
      <c r="I207" s="32" t="s">
        <v>12</v>
      </c>
      <c r="J207" s="28" t="s">
        <v>13</v>
      </c>
      <c r="K207" s="27" t="str" cm="1">
        <f t="array" aca="1" ref="K20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08" spans="1:11" x14ac:dyDescent="0.35">
      <c r="A208" s="22">
        <f>YEAR(Tabela135[[#This Row],[Vencimento]])</f>
        <v>2024</v>
      </c>
      <c r="B208" s="23" t="str">
        <f>TEXT(D208,"mmmm")</f>
        <v>outubro</v>
      </c>
      <c r="C208" s="23">
        <f>DAY(Tabela135[[#This Row],[Vencimento]])</f>
        <v>20</v>
      </c>
      <c r="D208" s="24">
        <v>45585</v>
      </c>
      <c r="E208" s="33">
        <v>45586</v>
      </c>
      <c r="F208" s="34">
        <v>277</v>
      </c>
      <c r="G208" s="35" t="s">
        <v>50</v>
      </c>
      <c r="H208" s="32" t="s">
        <v>42</v>
      </c>
      <c r="I208" s="32" t="s">
        <v>15</v>
      </c>
      <c r="J208" s="28" t="s">
        <v>13</v>
      </c>
      <c r="K208" s="27" t="str" cm="1">
        <f t="array" aca="1" ref="K20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09" spans="1:11" x14ac:dyDescent="0.35">
      <c r="A209" s="32">
        <f>YEAR(Tabela135[[#This Row],[Vencimento]])</f>
        <v>2024</v>
      </c>
      <c r="B209" s="28" t="str">
        <f>TEXT(D209,"mmmm")</f>
        <v>setembro</v>
      </c>
      <c r="C209" s="28">
        <f>DAY(Tabela135[[#This Row],[Vencimento]])</f>
        <v>5</v>
      </c>
      <c r="D209" s="24">
        <v>45540</v>
      </c>
      <c r="E209" s="33">
        <v>45543</v>
      </c>
      <c r="F209" s="34">
        <v>160</v>
      </c>
      <c r="G209" s="35" t="s">
        <v>21</v>
      </c>
      <c r="H209" s="32" t="s">
        <v>11</v>
      </c>
      <c r="I209" s="32" t="s">
        <v>12</v>
      </c>
      <c r="J209" s="28" t="s">
        <v>13</v>
      </c>
      <c r="K209" s="28" t="str" cm="1">
        <f t="array" aca="1" ref="K20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10" spans="1:11" x14ac:dyDescent="0.35">
      <c r="A210" s="19">
        <f>YEAR(Tabela135[[#This Row],[Vencimento]])</f>
        <v>2024</v>
      </c>
      <c r="B210" s="20" t="str">
        <f>TEXT(D210,"mmmm")</f>
        <v>setembro</v>
      </c>
      <c r="C210" s="20">
        <f>DAY(Tabela135[[#This Row],[Vencimento]])</f>
        <v>5</v>
      </c>
      <c r="D210" s="24">
        <v>45540</v>
      </c>
      <c r="E210" s="33">
        <v>45543</v>
      </c>
      <c r="F210" s="34">
        <v>350</v>
      </c>
      <c r="G210" s="35" t="s">
        <v>10</v>
      </c>
      <c r="H210" s="32" t="s">
        <v>11</v>
      </c>
      <c r="I210" s="32" t="s">
        <v>12</v>
      </c>
      <c r="J210" s="28" t="s">
        <v>13</v>
      </c>
      <c r="K210" s="28" t="str" cm="1">
        <f t="array" aca="1" ref="K21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11" spans="1:11" x14ac:dyDescent="0.35">
      <c r="A211" s="22">
        <f>YEAR(Tabela135[[#This Row],[Vencimento]])</f>
        <v>2024</v>
      </c>
      <c r="B211" s="23" t="str">
        <f>TEXT(D211,"mmmm")</f>
        <v>setembro</v>
      </c>
      <c r="C211" s="23">
        <f>DAY(Tabela135[[#This Row],[Vencimento]])</f>
        <v>20</v>
      </c>
      <c r="D211" s="24">
        <v>45555</v>
      </c>
      <c r="E211" s="33">
        <v>45555</v>
      </c>
      <c r="F211" s="34">
        <v>100</v>
      </c>
      <c r="G211" s="35" t="s">
        <v>20</v>
      </c>
      <c r="H211" s="32" t="s">
        <v>11</v>
      </c>
      <c r="I211" s="32" t="s">
        <v>12</v>
      </c>
      <c r="J211" s="28" t="s">
        <v>13</v>
      </c>
      <c r="K211" s="27" t="str" cm="1">
        <f t="array" aca="1" ref="K21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12" spans="1:11" x14ac:dyDescent="0.35">
      <c r="A212" s="22">
        <f>YEAR(Tabela135[[#This Row],[Vencimento]])</f>
        <v>2024</v>
      </c>
      <c r="B212" s="23" t="str">
        <f>TEXT(D212,"mmmm")</f>
        <v>setembro</v>
      </c>
      <c r="C212" s="23">
        <f>DAY(Tabela135[[#This Row],[Vencimento]])</f>
        <v>20</v>
      </c>
      <c r="D212" s="24">
        <v>45555</v>
      </c>
      <c r="E212" s="33">
        <v>45555</v>
      </c>
      <c r="F212" s="34">
        <v>287</v>
      </c>
      <c r="G212" s="35" t="s">
        <v>18</v>
      </c>
      <c r="H212" s="32" t="s">
        <v>42</v>
      </c>
      <c r="I212" s="32" t="s">
        <v>15</v>
      </c>
      <c r="J212" s="28" t="s">
        <v>13</v>
      </c>
      <c r="K212" s="27" t="str" cm="1">
        <f t="array" aca="1" ref="K21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13" spans="1:11" x14ac:dyDescent="0.35">
      <c r="A213" s="22">
        <f>YEAR(Tabela135[[#This Row],[Vencimento]])</f>
        <v>2024</v>
      </c>
      <c r="B213" s="23" t="str">
        <f>TEXT(D213,"mmmm")</f>
        <v>setembro</v>
      </c>
      <c r="C213" s="23">
        <f>DAY(Tabela135[[#This Row],[Vencimento]])</f>
        <v>20</v>
      </c>
      <c r="D213" s="24">
        <v>45555</v>
      </c>
      <c r="E213" s="33">
        <v>45555</v>
      </c>
      <c r="F213" s="34">
        <v>100</v>
      </c>
      <c r="G213" s="35" t="s">
        <v>43</v>
      </c>
      <c r="H213" s="32" t="s">
        <v>44</v>
      </c>
      <c r="I213" s="32" t="s">
        <v>12</v>
      </c>
      <c r="J213" s="28" t="s">
        <v>13</v>
      </c>
      <c r="K213" s="27" t="str" cm="1">
        <f t="array" aca="1" ref="K21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14" spans="1:11" x14ac:dyDescent="0.35">
      <c r="A214" s="22">
        <f>YEAR(Tabela135[[#This Row],[Vencimento]])</f>
        <v>2024</v>
      </c>
      <c r="B214" s="23" t="str">
        <f>TEXT(D214,"mmmm")</f>
        <v>setembro</v>
      </c>
      <c r="C214" s="23">
        <f>DAY(Tabela135[[#This Row],[Vencimento]])</f>
        <v>5</v>
      </c>
      <c r="D214" s="24">
        <v>45540</v>
      </c>
      <c r="E214" s="33">
        <v>45540</v>
      </c>
      <c r="F214" s="34">
        <v>2500</v>
      </c>
      <c r="G214" s="35" t="s">
        <v>45</v>
      </c>
      <c r="H214" s="32" t="s">
        <v>11</v>
      </c>
      <c r="I214" s="32" t="s">
        <v>12</v>
      </c>
      <c r="J214" s="28" t="s">
        <v>13</v>
      </c>
      <c r="K214" s="27" t="str" cm="1">
        <f t="array" aca="1" ref="K21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15" spans="1:11" x14ac:dyDescent="0.35">
      <c r="A215" s="22">
        <f>YEAR(Tabela135[[#This Row],[Vencimento]])</f>
        <v>2024</v>
      </c>
      <c r="B215" s="23" t="str">
        <f>TEXT(D215,"mmmm")</f>
        <v>setembro</v>
      </c>
      <c r="C215" s="23">
        <f>DAY(Tabela135[[#This Row],[Vencimento]])</f>
        <v>20</v>
      </c>
      <c r="D215" s="24">
        <v>45555</v>
      </c>
      <c r="E215" s="33">
        <v>45555</v>
      </c>
      <c r="F215" s="34">
        <v>800</v>
      </c>
      <c r="G215" s="35" t="s">
        <v>46</v>
      </c>
      <c r="H215" s="32" t="s">
        <v>47</v>
      </c>
      <c r="I215" s="32" t="s">
        <v>12</v>
      </c>
      <c r="J215" s="28" t="s">
        <v>13</v>
      </c>
      <c r="K215" s="27" t="str" cm="1">
        <f t="array" aca="1" ref="K21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16" spans="1:11" x14ac:dyDescent="0.35">
      <c r="A216" s="22">
        <f>YEAR(Tabela135[[#This Row],[Vencimento]])</f>
        <v>2024</v>
      </c>
      <c r="B216" s="23" t="str">
        <f>TEXT(D216,"mmmm")</f>
        <v>setembro</v>
      </c>
      <c r="C216" s="23">
        <f>DAY(Tabela135[[#This Row],[Vencimento]])</f>
        <v>20</v>
      </c>
      <c r="D216" s="24">
        <v>45555</v>
      </c>
      <c r="E216" s="33">
        <v>45555</v>
      </c>
      <c r="F216" s="34">
        <v>1000</v>
      </c>
      <c r="G216" s="35" t="s">
        <v>48</v>
      </c>
      <c r="H216" s="32" t="s">
        <v>49</v>
      </c>
      <c r="I216" s="32" t="s">
        <v>12</v>
      </c>
      <c r="J216" s="28" t="s">
        <v>13</v>
      </c>
      <c r="K216" s="27" t="str" cm="1">
        <f t="array" aca="1" ref="K21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17" spans="1:11" x14ac:dyDescent="0.35">
      <c r="A217" s="22">
        <f>YEAR(Tabela135[[#This Row],[Vencimento]])</f>
        <v>2024</v>
      </c>
      <c r="B217" s="23" t="str">
        <f>TEXT(D217,"mmmm")</f>
        <v>setembro</v>
      </c>
      <c r="C217" s="23">
        <f>DAY(Tabela135[[#This Row],[Vencimento]])</f>
        <v>20</v>
      </c>
      <c r="D217" s="24">
        <v>45555</v>
      </c>
      <c r="E217" s="33">
        <v>45555</v>
      </c>
      <c r="F217" s="34">
        <v>287</v>
      </c>
      <c r="G217" s="35" t="s">
        <v>50</v>
      </c>
      <c r="H217" s="32" t="s">
        <v>42</v>
      </c>
      <c r="I217" s="32" t="s">
        <v>15</v>
      </c>
      <c r="J217" s="28" t="s">
        <v>13</v>
      </c>
      <c r="K217" s="27" t="str" cm="1">
        <f t="array" aca="1" ref="K21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18" spans="1:11" x14ac:dyDescent="0.35">
      <c r="A218" s="32">
        <f>YEAR(Tabela135[[#This Row],[Vencimento]])</f>
        <v>2025</v>
      </c>
      <c r="B218" s="28" t="str">
        <f>TEXT(D218,"mmmm")</f>
        <v>abril</v>
      </c>
      <c r="C218" s="28">
        <f>DAY(Tabela135[[#This Row],[Vencimento]])</f>
        <v>5</v>
      </c>
      <c r="D218" s="24">
        <v>45752</v>
      </c>
      <c r="E218" s="33">
        <v>45752</v>
      </c>
      <c r="F218" s="34">
        <v>160</v>
      </c>
      <c r="G218" s="35" t="s">
        <v>21</v>
      </c>
      <c r="H218" s="32" t="s">
        <v>11</v>
      </c>
      <c r="I218" s="32" t="s">
        <v>12</v>
      </c>
      <c r="J218" s="28" t="s">
        <v>13</v>
      </c>
      <c r="K218" s="28" t="str" cm="1">
        <f t="array" aca="1" ref="K21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19" spans="1:11" x14ac:dyDescent="0.35">
      <c r="A219" s="19">
        <f>YEAR(Tabela135[[#This Row],[Vencimento]])</f>
        <v>2025</v>
      </c>
      <c r="B219" s="20" t="str">
        <f>TEXT(D219,"mmmm")</f>
        <v>abril</v>
      </c>
      <c r="C219" s="20">
        <f>DAY(Tabela135[[#This Row],[Vencimento]])</f>
        <v>5</v>
      </c>
      <c r="D219" s="24">
        <v>45752</v>
      </c>
      <c r="E219" s="33">
        <v>45752</v>
      </c>
      <c r="F219" s="34">
        <v>350</v>
      </c>
      <c r="G219" s="35" t="s">
        <v>10</v>
      </c>
      <c r="H219" s="32" t="s">
        <v>11</v>
      </c>
      <c r="I219" s="32" t="s">
        <v>12</v>
      </c>
      <c r="J219" s="28" t="s">
        <v>13</v>
      </c>
      <c r="K219" s="28" t="str" cm="1">
        <f t="array" aca="1" ref="K21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0" spans="1:11" x14ac:dyDescent="0.35">
      <c r="A220" s="22">
        <f>YEAR(Tabela135[[#This Row],[Vencimento]])</f>
        <v>2025</v>
      </c>
      <c r="B220" s="23" t="str">
        <f>TEXT(D220,"mmmm")</f>
        <v>abril</v>
      </c>
      <c r="C220" s="23">
        <f>DAY(Tabela135[[#This Row],[Vencimento]])</f>
        <v>20</v>
      </c>
      <c r="D220" s="24">
        <v>45767</v>
      </c>
      <c r="E220" s="33">
        <v>45767</v>
      </c>
      <c r="F220" s="34">
        <v>100</v>
      </c>
      <c r="G220" s="35" t="s">
        <v>20</v>
      </c>
      <c r="H220" s="32" t="s">
        <v>11</v>
      </c>
      <c r="I220" s="32" t="s">
        <v>12</v>
      </c>
      <c r="J220" s="28" t="s">
        <v>13</v>
      </c>
      <c r="K220" s="27" t="str" cm="1">
        <f t="array" aca="1" ref="K22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1" spans="1:11" x14ac:dyDescent="0.35">
      <c r="A221" s="22">
        <f>YEAR(Tabela135[[#This Row],[Vencimento]])</f>
        <v>2025</v>
      </c>
      <c r="B221" s="23" t="str">
        <f>TEXT(D221,"mmmm")</f>
        <v>abril</v>
      </c>
      <c r="C221" s="23">
        <f>DAY(Tabela135[[#This Row],[Vencimento]])</f>
        <v>20</v>
      </c>
      <c r="D221" s="24">
        <v>45767</v>
      </c>
      <c r="E221" s="33">
        <v>45767</v>
      </c>
      <c r="F221" s="34">
        <v>956</v>
      </c>
      <c r="G221" s="35" t="s">
        <v>18</v>
      </c>
      <c r="H221" s="32" t="s">
        <v>42</v>
      </c>
      <c r="I221" s="32" t="s">
        <v>15</v>
      </c>
      <c r="J221" s="28" t="s">
        <v>13</v>
      </c>
      <c r="K221" s="27" t="str" cm="1">
        <f t="array" aca="1" ref="K22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2" spans="1:11" x14ac:dyDescent="0.35">
      <c r="A222" s="22">
        <f>YEAR(Tabela135[[#This Row],[Vencimento]])</f>
        <v>2025</v>
      </c>
      <c r="B222" s="23" t="str">
        <f>TEXT(D222,"mmmm")</f>
        <v>abril</v>
      </c>
      <c r="C222" s="23">
        <f>DAY(Tabela135[[#This Row],[Vencimento]])</f>
        <v>20</v>
      </c>
      <c r="D222" s="24">
        <v>45767</v>
      </c>
      <c r="E222" s="33">
        <v>45767</v>
      </c>
      <c r="F222" s="34">
        <v>100</v>
      </c>
      <c r="G222" s="35" t="s">
        <v>43</v>
      </c>
      <c r="H222" s="32" t="s">
        <v>44</v>
      </c>
      <c r="I222" s="32" t="s">
        <v>12</v>
      </c>
      <c r="J222" s="28" t="s">
        <v>13</v>
      </c>
      <c r="K222" s="27" t="str" cm="1">
        <f t="array" aca="1" ref="K22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3" spans="1:11" x14ac:dyDescent="0.35">
      <c r="A223" s="22">
        <f>YEAR(Tabela135[[#This Row],[Vencimento]])</f>
        <v>2025</v>
      </c>
      <c r="B223" s="23" t="str">
        <f>TEXT(D223,"mmmm")</f>
        <v>abril</v>
      </c>
      <c r="C223" s="23">
        <f>DAY(Tabela135[[#This Row],[Vencimento]])</f>
        <v>5</v>
      </c>
      <c r="D223" s="24">
        <v>45752</v>
      </c>
      <c r="E223" s="33">
        <v>45752</v>
      </c>
      <c r="F223" s="34">
        <v>2500</v>
      </c>
      <c r="G223" s="35" t="s">
        <v>45</v>
      </c>
      <c r="H223" s="32" t="s">
        <v>11</v>
      </c>
      <c r="I223" s="32" t="s">
        <v>12</v>
      </c>
      <c r="J223" s="28" t="s">
        <v>13</v>
      </c>
      <c r="K223" s="27" t="str" cm="1">
        <f t="array" aca="1" ref="K22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4" spans="1:11" x14ac:dyDescent="0.35">
      <c r="A224" s="22">
        <f>YEAR(Tabela135[[#This Row],[Vencimento]])</f>
        <v>2025</v>
      </c>
      <c r="B224" s="23" t="str">
        <f>TEXT(D224,"mmmm")</f>
        <v>abril</v>
      </c>
      <c r="C224" s="23">
        <f>DAY(Tabela135[[#This Row],[Vencimento]])</f>
        <v>20</v>
      </c>
      <c r="D224" s="24">
        <v>45767</v>
      </c>
      <c r="E224" s="33">
        <v>45767</v>
      </c>
      <c r="F224" s="34">
        <v>800</v>
      </c>
      <c r="G224" s="35" t="s">
        <v>46</v>
      </c>
      <c r="H224" s="32" t="s">
        <v>47</v>
      </c>
      <c r="I224" s="32" t="s">
        <v>12</v>
      </c>
      <c r="J224" s="28" t="s">
        <v>13</v>
      </c>
      <c r="K224" s="27" t="str" cm="1">
        <f t="array" aca="1" ref="K22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5" spans="1:11" x14ac:dyDescent="0.35">
      <c r="A225" s="22">
        <f>YEAR(Tabela135[[#This Row],[Vencimento]])</f>
        <v>2025</v>
      </c>
      <c r="B225" s="23" t="str">
        <f>TEXT(D225,"mmmm")</f>
        <v>abril</v>
      </c>
      <c r="C225" s="23">
        <f>DAY(Tabela135[[#This Row],[Vencimento]])</f>
        <v>20</v>
      </c>
      <c r="D225" s="24">
        <v>45767</v>
      </c>
      <c r="E225" s="33">
        <v>45767</v>
      </c>
      <c r="F225" s="34">
        <v>1000</v>
      </c>
      <c r="G225" s="35" t="s">
        <v>48</v>
      </c>
      <c r="H225" s="32" t="s">
        <v>49</v>
      </c>
      <c r="I225" s="32" t="s">
        <v>12</v>
      </c>
      <c r="J225" s="28" t="s">
        <v>13</v>
      </c>
      <c r="K225" s="27" t="str" cm="1">
        <f t="array" aca="1" ref="K22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6" spans="1:11" x14ac:dyDescent="0.35">
      <c r="A226" s="22">
        <f>YEAR(Tabela135[[#This Row],[Vencimento]])</f>
        <v>2025</v>
      </c>
      <c r="B226" s="23" t="str">
        <f>TEXT(D226,"mmmm")</f>
        <v>abril</v>
      </c>
      <c r="C226" s="23">
        <f>DAY(Tabela135[[#This Row],[Vencimento]])</f>
        <v>20</v>
      </c>
      <c r="D226" s="24">
        <v>45767</v>
      </c>
      <c r="E226" s="33">
        <v>45767</v>
      </c>
      <c r="F226" s="34">
        <v>134</v>
      </c>
      <c r="G226" s="35" t="s">
        <v>50</v>
      </c>
      <c r="H226" s="32" t="s">
        <v>42</v>
      </c>
      <c r="I226" s="32" t="s">
        <v>15</v>
      </c>
      <c r="J226" s="28" t="s">
        <v>13</v>
      </c>
      <c r="K226" s="27" t="str" cm="1">
        <f t="array" aca="1" ref="K22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7" spans="1:11" x14ac:dyDescent="0.35">
      <c r="A227" s="32">
        <f>YEAR(Tabela135[[#This Row],[Vencimento]])</f>
        <v>2025</v>
      </c>
      <c r="B227" s="28" t="str">
        <f>TEXT(D227,"mmmm")</f>
        <v>agosto</v>
      </c>
      <c r="C227" s="28">
        <f>DAY(Tabela135[[#This Row],[Vencimento]])</f>
        <v>5</v>
      </c>
      <c r="D227" s="24">
        <v>45874</v>
      </c>
      <c r="E227" s="33">
        <v>45874</v>
      </c>
      <c r="F227" s="34">
        <v>160</v>
      </c>
      <c r="G227" s="35" t="s">
        <v>21</v>
      </c>
      <c r="H227" s="32" t="s">
        <v>11</v>
      </c>
      <c r="I227" s="32" t="s">
        <v>12</v>
      </c>
      <c r="J227" s="28" t="s">
        <v>13</v>
      </c>
      <c r="K227" s="28" t="str" cm="1">
        <f t="array" aca="1" ref="K22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8" spans="1:11" x14ac:dyDescent="0.35">
      <c r="A228" s="22">
        <f>YEAR(Tabela135[[#This Row],[Vencimento]])</f>
        <v>2025</v>
      </c>
      <c r="B228" s="23" t="str">
        <f>TEXT(D228,"mmmm")</f>
        <v>agosto</v>
      </c>
      <c r="C228" s="23">
        <f>DAY(Tabela135[[#This Row],[Vencimento]])</f>
        <v>5</v>
      </c>
      <c r="D228" s="24">
        <v>45874</v>
      </c>
      <c r="E228" s="33">
        <v>45874</v>
      </c>
      <c r="F228" s="34">
        <v>350</v>
      </c>
      <c r="G228" s="35" t="s">
        <v>10</v>
      </c>
      <c r="H228" s="39" t="s">
        <v>11</v>
      </c>
      <c r="I228" s="39" t="s">
        <v>12</v>
      </c>
      <c r="J228" s="28" t="s">
        <v>13</v>
      </c>
      <c r="K228" s="28" t="str" cm="1">
        <f t="array" aca="1" ref="K22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29" spans="1:11" x14ac:dyDescent="0.35">
      <c r="A229" s="22">
        <f>YEAR(Tabela135[[#This Row],[Vencimento]])</f>
        <v>2025</v>
      </c>
      <c r="B229" s="23" t="str">
        <f>TEXT(D229,"mmmm")</f>
        <v>agosto</v>
      </c>
      <c r="C229" s="23">
        <f>DAY(Tabela135[[#This Row],[Vencimento]])</f>
        <v>20</v>
      </c>
      <c r="D229" s="24">
        <v>45889</v>
      </c>
      <c r="E229" s="33">
        <v>45888</v>
      </c>
      <c r="F229" s="34">
        <v>100</v>
      </c>
      <c r="G229" s="35" t="s">
        <v>20</v>
      </c>
      <c r="H229" s="39" t="s">
        <v>11</v>
      </c>
      <c r="I229" s="39" t="s">
        <v>12</v>
      </c>
      <c r="J229" s="28" t="s">
        <v>13</v>
      </c>
      <c r="K229" s="27" t="str" cm="1">
        <f t="array" aca="1" ref="K22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0" spans="1:11" x14ac:dyDescent="0.35">
      <c r="A230" s="22">
        <f>YEAR(Tabela135[[#This Row],[Vencimento]])</f>
        <v>2025</v>
      </c>
      <c r="B230" s="23" t="str">
        <f>TEXT(D230,"mmmm")</f>
        <v>agosto</v>
      </c>
      <c r="C230" s="23">
        <f>DAY(Tabela135[[#This Row],[Vencimento]])</f>
        <v>20</v>
      </c>
      <c r="D230" s="24">
        <v>45889</v>
      </c>
      <c r="E230" s="33">
        <v>45888</v>
      </c>
      <c r="F230" s="34">
        <v>878</v>
      </c>
      <c r="G230" s="35" t="s">
        <v>18</v>
      </c>
      <c r="H230" s="32" t="s">
        <v>42</v>
      </c>
      <c r="I230" s="32" t="s">
        <v>15</v>
      </c>
      <c r="J230" s="28" t="s">
        <v>13</v>
      </c>
      <c r="K230" s="27" t="str" cm="1">
        <f t="array" aca="1" ref="K23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1" spans="1:11" x14ac:dyDescent="0.35">
      <c r="A231" s="22">
        <f>YEAR(Tabela135[[#This Row],[Vencimento]])</f>
        <v>2025</v>
      </c>
      <c r="B231" s="23" t="str">
        <f>TEXT(D231,"mmmm")</f>
        <v>agosto</v>
      </c>
      <c r="C231" s="23">
        <f>DAY(Tabela135[[#This Row],[Vencimento]])</f>
        <v>20</v>
      </c>
      <c r="D231" s="24">
        <v>45889</v>
      </c>
      <c r="E231" s="33">
        <v>45888</v>
      </c>
      <c r="F231" s="34">
        <v>100</v>
      </c>
      <c r="G231" s="35" t="s">
        <v>43</v>
      </c>
      <c r="H231" s="32" t="s">
        <v>44</v>
      </c>
      <c r="I231" s="32" t="s">
        <v>12</v>
      </c>
      <c r="J231" s="28" t="s">
        <v>13</v>
      </c>
      <c r="K231" s="27" t="str" cm="1">
        <f t="array" aca="1" ref="K23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2" spans="1:11" x14ac:dyDescent="0.35">
      <c r="A232" s="22">
        <f>YEAR(Tabela135[[#This Row],[Vencimento]])</f>
        <v>2025</v>
      </c>
      <c r="B232" s="23" t="str">
        <f>TEXT(D232,"mmmm")</f>
        <v>agosto</v>
      </c>
      <c r="C232" s="23">
        <f>DAY(Tabela135[[#This Row],[Vencimento]])</f>
        <v>5</v>
      </c>
      <c r="D232" s="24">
        <v>45874</v>
      </c>
      <c r="E232" s="33">
        <v>45874</v>
      </c>
      <c r="F232" s="34">
        <v>2500</v>
      </c>
      <c r="G232" s="35" t="s">
        <v>45</v>
      </c>
      <c r="H232" s="32" t="s">
        <v>11</v>
      </c>
      <c r="I232" s="32" t="s">
        <v>12</v>
      </c>
      <c r="J232" s="28" t="s">
        <v>13</v>
      </c>
      <c r="K232" s="27" t="str" cm="1">
        <f t="array" aca="1" ref="K23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3" spans="1:11" x14ac:dyDescent="0.35">
      <c r="A233" s="22">
        <f>YEAR(Tabela135[[#This Row],[Vencimento]])</f>
        <v>2025</v>
      </c>
      <c r="B233" s="23" t="str">
        <f>TEXT(D233,"mmmm")</f>
        <v>agosto</v>
      </c>
      <c r="C233" s="23">
        <f>DAY(Tabela135[[#This Row],[Vencimento]])</f>
        <v>20</v>
      </c>
      <c r="D233" s="24">
        <v>45889</v>
      </c>
      <c r="E233" s="33">
        <v>45888</v>
      </c>
      <c r="F233" s="34">
        <v>800</v>
      </c>
      <c r="G233" s="35" t="s">
        <v>46</v>
      </c>
      <c r="H233" s="32" t="s">
        <v>47</v>
      </c>
      <c r="I233" s="32" t="s">
        <v>12</v>
      </c>
      <c r="J233" s="28" t="s">
        <v>13</v>
      </c>
      <c r="K233" s="27" t="str" cm="1">
        <f t="array" aca="1" ref="K23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4" spans="1:11" x14ac:dyDescent="0.35">
      <c r="A234" s="22">
        <f>YEAR(Tabela135[[#This Row],[Vencimento]])</f>
        <v>2025</v>
      </c>
      <c r="B234" s="23" t="str">
        <f>TEXT(D234,"mmmm")</f>
        <v>agosto</v>
      </c>
      <c r="C234" s="23">
        <f>DAY(Tabela135[[#This Row],[Vencimento]])</f>
        <v>20</v>
      </c>
      <c r="D234" s="24">
        <v>45889</v>
      </c>
      <c r="E234" s="33">
        <v>45888</v>
      </c>
      <c r="F234" s="34">
        <v>1000</v>
      </c>
      <c r="G234" s="35" t="s">
        <v>48</v>
      </c>
      <c r="H234" s="32" t="s">
        <v>49</v>
      </c>
      <c r="I234" s="32" t="s">
        <v>12</v>
      </c>
      <c r="J234" s="28" t="s">
        <v>13</v>
      </c>
      <c r="K234" s="27" t="str" cm="1">
        <f t="array" aca="1" ref="K23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5" spans="1:11" x14ac:dyDescent="0.35">
      <c r="A235" s="22">
        <f>YEAR(Tabela135[[#This Row],[Vencimento]])</f>
        <v>2025</v>
      </c>
      <c r="B235" s="23" t="str">
        <f>TEXT(D235,"mmmm")</f>
        <v>agosto</v>
      </c>
      <c r="C235" s="23">
        <f>DAY(Tabela135[[#This Row],[Vencimento]])</f>
        <v>20</v>
      </c>
      <c r="D235" s="24">
        <v>45889</v>
      </c>
      <c r="E235" s="33">
        <v>45888</v>
      </c>
      <c r="F235" s="34">
        <v>123</v>
      </c>
      <c r="G235" s="35" t="s">
        <v>50</v>
      </c>
      <c r="H235" s="32" t="s">
        <v>42</v>
      </c>
      <c r="I235" s="32" t="s">
        <v>15</v>
      </c>
      <c r="J235" s="28" t="s">
        <v>13</v>
      </c>
      <c r="K235" s="27" t="str" cm="1">
        <f t="array" aca="1" ref="K23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6" spans="1:11" x14ac:dyDescent="0.35">
      <c r="A236" s="32">
        <f>YEAR(Tabela135[[#This Row],[Vencimento]])</f>
        <v>2025</v>
      </c>
      <c r="B236" s="28" t="str">
        <f>TEXT(D236,"mmmm")</f>
        <v>dezembro</v>
      </c>
      <c r="C236" s="28">
        <f>DAY(Tabela135[[#This Row],[Vencimento]])</f>
        <v>5</v>
      </c>
      <c r="D236" s="24">
        <v>45996</v>
      </c>
      <c r="E236" s="33">
        <v>45996</v>
      </c>
      <c r="F236" s="34">
        <v>160</v>
      </c>
      <c r="G236" s="35" t="s">
        <v>21</v>
      </c>
      <c r="H236" s="32" t="s">
        <v>11</v>
      </c>
      <c r="I236" s="32" t="s">
        <v>12</v>
      </c>
      <c r="J236" s="28" t="s">
        <v>13</v>
      </c>
      <c r="K236" s="28" t="str" cm="1">
        <f t="array" aca="1" ref="K23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7" spans="1:11" x14ac:dyDescent="0.35">
      <c r="A237" s="22">
        <f>YEAR(Tabela135[[#This Row],[Vencimento]])</f>
        <v>2025</v>
      </c>
      <c r="B237" s="23" t="str">
        <f>TEXT(D237,"mmmm")</f>
        <v>dezembro</v>
      </c>
      <c r="C237" s="23">
        <f>DAY(Tabela135[[#This Row],[Vencimento]])</f>
        <v>5</v>
      </c>
      <c r="D237" s="24">
        <v>45996</v>
      </c>
      <c r="E237" s="33">
        <v>45996</v>
      </c>
      <c r="F237" s="34">
        <v>350</v>
      </c>
      <c r="G237" s="35" t="s">
        <v>10</v>
      </c>
      <c r="H237" s="39" t="s">
        <v>11</v>
      </c>
      <c r="I237" s="39" t="s">
        <v>12</v>
      </c>
      <c r="J237" s="28" t="s">
        <v>13</v>
      </c>
      <c r="K237" s="28" t="str" cm="1">
        <f t="array" aca="1" ref="K23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8" spans="1:11" x14ac:dyDescent="0.35">
      <c r="A238" s="22">
        <f>YEAR(Tabela135[[#This Row],[Vencimento]])</f>
        <v>2025</v>
      </c>
      <c r="B238" s="23" t="str">
        <f>TEXT(D238,"mmmm")</f>
        <v>dezembro</v>
      </c>
      <c r="C238" s="23">
        <f>DAY(Tabela135[[#This Row],[Vencimento]])</f>
        <v>20</v>
      </c>
      <c r="D238" s="24">
        <v>46011</v>
      </c>
      <c r="E238" s="33">
        <v>46011</v>
      </c>
      <c r="F238" s="34">
        <v>100</v>
      </c>
      <c r="G238" s="35" t="s">
        <v>20</v>
      </c>
      <c r="H238" s="39" t="s">
        <v>11</v>
      </c>
      <c r="I238" s="39" t="s">
        <v>12</v>
      </c>
      <c r="J238" s="28" t="s">
        <v>13</v>
      </c>
      <c r="K238" s="27" t="str" cm="1">
        <f t="array" aca="1" ref="K23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39" spans="1:11" x14ac:dyDescent="0.35">
      <c r="A239" s="22">
        <f>YEAR(Tabela135[[#This Row],[Vencimento]])</f>
        <v>2025</v>
      </c>
      <c r="B239" s="23" t="str">
        <f>TEXT(D239,"mmmm")</f>
        <v>dezembro</v>
      </c>
      <c r="C239" s="23">
        <f>DAY(Tabela135[[#This Row],[Vencimento]])</f>
        <v>20</v>
      </c>
      <c r="D239" s="24">
        <v>46011</v>
      </c>
      <c r="E239" s="33">
        <v>46011</v>
      </c>
      <c r="F239" s="34">
        <v>307</v>
      </c>
      <c r="G239" s="35" t="s">
        <v>18</v>
      </c>
      <c r="H239" s="32" t="s">
        <v>42</v>
      </c>
      <c r="I239" s="32" t="s">
        <v>15</v>
      </c>
      <c r="J239" s="28" t="s">
        <v>13</v>
      </c>
      <c r="K239" s="27" t="str" cm="1">
        <f t="array" aca="1" ref="K23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0" spans="1:11" x14ac:dyDescent="0.35">
      <c r="A240" s="22">
        <f>YEAR(Tabela135[[#This Row],[Vencimento]])</f>
        <v>2025</v>
      </c>
      <c r="B240" s="23" t="str">
        <f>TEXT(D240,"mmmm")</f>
        <v>dezembro</v>
      </c>
      <c r="C240" s="23">
        <f>DAY(Tabela135[[#This Row],[Vencimento]])</f>
        <v>20</v>
      </c>
      <c r="D240" s="24">
        <v>46011</v>
      </c>
      <c r="E240" s="33">
        <v>46011</v>
      </c>
      <c r="F240" s="34">
        <v>100</v>
      </c>
      <c r="G240" s="35" t="s">
        <v>43</v>
      </c>
      <c r="H240" s="32" t="s">
        <v>44</v>
      </c>
      <c r="I240" s="32" t="s">
        <v>12</v>
      </c>
      <c r="J240" s="28" t="s">
        <v>13</v>
      </c>
      <c r="K240" s="27" t="str" cm="1">
        <f t="array" aca="1" ref="K24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1" spans="1:11" x14ac:dyDescent="0.35">
      <c r="A241" s="42">
        <f>YEAR(Tabela135[[#This Row],[Vencimento]])</f>
        <v>2025</v>
      </c>
      <c r="B241" s="25" t="str">
        <f>TEXT(D241,"mmmm")</f>
        <v>dezembro</v>
      </c>
      <c r="C241" s="25">
        <f>DAY(Tabela135[[#This Row],[Vencimento]])</f>
        <v>5</v>
      </c>
      <c r="D241" s="40">
        <v>45996</v>
      </c>
      <c r="E241" s="36">
        <v>45996</v>
      </c>
      <c r="F241" s="34">
        <v>2500</v>
      </c>
      <c r="G241" s="35" t="s">
        <v>45</v>
      </c>
      <c r="H241" s="32" t="s">
        <v>11</v>
      </c>
      <c r="I241" s="32" t="s">
        <v>12</v>
      </c>
      <c r="J241" s="31" t="s">
        <v>13</v>
      </c>
      <c r="K241" s="38" t="str" cm="1">
        <f t="array" aca="1" ref="K24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2" spans="1:11" x14ac:dyDescent="0.35">
      <c r="A242" s="22">
        <f>YEAR(Tabela135[[#This Row],[Vencimento]])</f>
        <v>2025</v>
      </c>
      <c r="B242" s="23" t="str">
        <f>TEXT(D242,"mmmm")</f>
        <v>dezembro</v>
      </c>
      <c r="C242" s="23">
        <f>DAY(Tabela135[[#This Row],[Vencimento]])</f>
        <v>20</v>
      </c>
      <c r="D242" s="24">
        <v>46011</v>
      </c>
      <c r="E242" s="24">
        <v>46011</v>
      </c>
      <c r="F242" s="34">
        <v>800</v>
      </c>
      <c r="G242" s="35" t="s">
        <v>46</v>
      </c>
      <c r="H242" s="32" t="s">
        <v>47</v>
      </c>
      <c r="I242" s="32" t="s">
        <v>12</v>
      </c>
      <c r="J242" s="28" t="s">
        <v>13</v>
      </c>
      <c r="K242" s="27" t="str" cm="1">
        <f t="array" aca="1" ref="K24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3" spans="1:11" x14ac:dyDescent="0.35">
      <c r="A243" s="22">
        <f>YEAR(Tabela135[[#This Row],[Vencimento]])</f>
        <v>2025</v>
      </c>
      <c r="B243" s="23" t="str">
        <f>TEXT(D243,"mmmm")</f>
        <v>dezembro</v>
      </c>
      <c r="C243" s="23">
        <f>DAY(Tabela135[[#This Row],[Vencimento]])</f>
        <v>20</v>
      </c>
      <c r="D243" s="24">
        <v>46011</v>
      </c>
      <c r="E243" s="24">
        <v>46011</v>
      </c>
      <c r="F243" s="34">
        <v>1000</v>
      </c>
      <c r="G243" s="35" t="s">
        <v>48</v>
      </c>
      <c r="H243" s="32" t="s">
        <v>49</v>
      </c>
      <c r="I243" s="32" t="s">
        <v>12</v>
      </c>
      <c r="J243" s="28" t="s">
        <v>13</v>
      </c>
      <c r="K243" s="27" t="str" cm="1">
        <f t="array" aca="1" ref="K24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4" spans="1:11" x14ac:dyDescent="0.35">
      <c r="A244" s="22">
        <f>YEAR(Tabela135[[#This Row],[Vencimento]])</f>
        <v>2025</v>
      </c>
      <c r="B244" s="23" t="str">
        <f>TEXT(D244,"mmmm")</f>
        <v>dezembro</v>
      </c>
      <c r="C244" s="23">
        <f>DAY(Tabela135[[#This Row],[Vencimento]])</f>
        <v>20</v>
      </c>
      <c r="D244" s="24">
        <v>46011</v>
      </c>
      <c r="E244" s="24">
        <v>46011</v>
      </c>
      <c r="F244" s="34">
        <v>244</v>
      </c>
      <c r="G244" s="35" t="s">
        <v>50</v>
      </c>
      <c r="H244" s="32" t="s">
        <v>42</v>
      </c>
      <c r="I244" s="32" t="s">
        <v>15</v>
      </c>
      <c r="J244" s="28" t="s">
        <v>13</v>
      </c>
      <c r="K244" s="27" t="str" cm="1">
        <f t="array" aca="1" ref="K24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5" spans="1:11" x14ac:dyDescent="0.35">
      <c r="A245" s="32">
        <f>YEAR(Tabela135[[#This Row],[Vencimento]])</f>
        <v>2025</v>
      </c>
      <c r="B245" s="28" t="str">
        <f>TEXT(D245,"mmmm")</f>
        <v>fevereiro</v>
      </c>
      <c r="C245" s="28">
        <f>DAY(Tabela135[[#This Row],[Vencimento]])</f>
        <v>5</v>
      </c>
      <c r="D245" s="24">
        <v>45693</v>
      </c>
      <c r="E245" s="24">
        <v>45693</v>
      </c>
      <c r="F245" s="34">
        <v>160</v>
      </c>
      <c r="G245" s="35" t="s">
        <v>21</v>
      </c>
      <c r="H245" s="32" t="s">
        <v>11</v>
      </c>
      <c r="I245" s="32" t="s">
        <v>12</v>
      </c>
      <c r="J245" s="28" t="s">
        <v>13</v>
      </c>
      <c r="K245" s="28" t="str" cm="1">
        <f t="array" aca="1" ref="K24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6" spans="1:11" x14ac:dyDescent="0.35">
      <c r="A246" s="19">
        <f>YEAR(Tabela135[[#This Row],[Vencimento]])</f>
        <v>2025</v>
      </c>
      <c r="B246" s="20" t="str">
        <f>TEXT(D246,"mmmm")</f>
        <v>fevereiro</v>
      </c>
      <c r="C246" s="20">
        <f>DAY(Tabela135[[#This Row],[Vencimento]])</f>
        <v>5</v>
      </c>
      <c r="D246" s="24">
        <v>45693</v>
      </c>
      <c r="E246" s="24">
        <v>45693</v>
      </c>
      <c r="F246" s="34">
        <v>350</v>
      </c>
      <c r="G246" s="35" t="s">
        <v>10</v>
      </c>
      <c r="H246" s="32" t="s">
        <v>11</v>
      </c>
      <c r="I246" s="32" t="s">
        <v>12</v>
      </c>
      <c r="J246" s="28" t="s">
        <v>13</v>
      </c>
      <c r="K246" s="28" t="str" cm="1">
        <f t="array" aca="1" ref="K24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7" spans="1:11" x14ac:dyDescent="0.35">
      <c r="A247" s="22">
        <f>YEAR(Tabela135[[#This Row],[Vencimento]])</f>
        <v>2025</v>
      </c>
      <c r="B247" s="23" t="str">
        <f>TEXT(D247,"mmmm")</f>
        <v>fevereiro</v>
      </c>
      <c r="C247" s="23">
        <f>DAY(Tabela135[[#This Row],[Vencimento]])</f>
        <v>20</v>
      </c>
      <c r="D247" s="24">
        <v>45708</v>
      </c>
      <c r="E247" s="24">
        <v>45708</v>
      </c>
      <c r="F247" s="34">
        <v>100</v>
      </c>
      <c r="G247" s="35" t="s">
        <v>20</v>
      </c>
      <c r="H247" s="32" t="s">
        <v>11</v>
      </c>
      <c r="I247" s="32" t="s">
        <v>12</v>
      </c>
      <c r="J247" s="28" t="s">
        <v>13</v>
      </c>
      <c r="K247" s="27" t="str" cm="1">
        <f t="array" aca="1" ref="K24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8" spans="1:11" x14ac:dyDescent="0.35">
      <c r="A248" s="22">
        <f>YEAR(Tabela135[[#This Row],[Vencimento]])</f>
        <v>2025</v>
      </c>
      <c r="B248" s="23" t="str">
        <f>TEXT(D248,"mmmm")</f>
        <v>fevereiro</v>
      </c>
      <c r="C248" s="23">
        <f>DAY(Tabela135[[#This Row],[Vencimento]])</f>
        <v>20</v>
      </c>
      <c r="D248" s="24">
        <v>45708</v>
      </c>
      <c r="E248" s="24">
        <v>45708</v>
      </c>
      <c r="F248" s="34">
        <v>689</v>
      </c>
      <c r="G248" s="35" t="s">
        <v>18</v>
      </c>
      <c r="H248" s="32" t="s">
        <v>42</v>
      </c>
      <c r="I248" s="32" t="s">
        <v>15</v>
      </c>
      <c r="J248" s="28" t="s">
        <v>13</v>
      </c>
      <c r="K248" s="27" t="str" cm="1">
        <f t="array" aca="1" ref="K24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49" spans="1:11" x14ac:dyDescent="0.35">
      <c r="A249" s="22">
        <f>YEAR(Tabela135[[#This Row],[Vencimento]])</f>
        <v>2025</v>
      </c>
      <c r="B249" s="23" t="str">
        <f>TEXT(D249,"mmmm")</f>
        <v>fevereiro</v>
      </c>
      <c r="C249" s="23">
        <f>DAY(Tabela135[[#This Row],[Vencimento]])</f>
        <v>20</v>
      </c>
      <c r="D249" s="24">
        <v>45708</v>
      </c>
      <c r="E249" s="24">
        <v>45708</v>
      </c>
      <c r="F249" s="34">
        <v>100</v>
      </c>
      <c r="G249" s="35" t="s">
        <v>43</v>
      </c>
      <c r="H249" s="32" t="s">
        <v>44</v>
      </c>
      <c r="I249" s="32" t="s">
        <v>12</v>
      </c>
      <c r="J249" s="28" t="s">
        <v>13</v>
      </c>
      <c r="K249" s="27" t="str" cm="1">
        <f t="array" aca="1" ref="K24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0" spans="1:11" x14ac:dyDescent="0.35">
      <c r="A250" s="22">
        <f>YEAR(Tabela135[[#This Row],[Vencimento]])</f>
        <v>2025</v>
      </c>
      <c r="B250" s="23" t="str">
        <f>TEXT(D250,"mmmm")</f>
        <v>fevereiro</v>
      </c>
      <c r="C250" s="23">
        <f>DAY(Tabela135[[#This Row],[Vencimento]])</f>
        <v>5</v>
      </c>
      <c r="D250" s="24">
        <v>45693</v>
      </c>
      <c r="E250" s="24">
        <v>45693</v>
      </c>
      <c r="F250" s="34">
        <v>2500</v>
      </c>
      <c r="G250" s="35" t="s">
        <v>45</v>
      </c>
      <c r="H250" s="32" t="s">
        <v>11</v>
      </c>
      <c r="I250" s="32" t="s">
        <v>12</v>
      </c>
      <c r="J250" s="28" t="s">
        <v>13</v>
      </c>
      <c r="K250" s="27" t="str" cm="1">
        <f t="array" aca="1" ref="K25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1" spans="1:11" x14ac:dyDescent="0.35">
      <c r="A251" s="22">
        <f>YEAR(Tabela135[[#This Row],[Vencimento]])</f>
        <v>2025</v>
      </c>
      <c r="B251" s="23" t="str">
        <f>TEXT(D251,"mmmm")</f>
        <v>fevereiro</v>
      </c>
      <c r="C251" s="23">
        <f>DAY(Tabela135[[#This Row],[Vencimento]])</f>
        <v>20</v>
      </c>
      <c r="D251" s="24">
        <v>45708</v>
      </c>
      <c r="E251" s="24">
        <v>45708</v>
      </c>
      <c r="F251" s="34">
        <v>800</v>
      </c>
      <c r="G251" s="35" t="s">
        <v>46</v>
      </c>
      <c r="H251" s="32" t="s">
        <v>47</v>
      </c>
      <c r="I251" s="32" t="s">
        <v>12</v>
      </c>
      <c r="J251" s="28" t="s">
        <v>13</v>
      </c>
      <c r="K251" s="27" t="str" cm="1">
        <f t="array" aca="1" ref="K25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2" spans="1:11" x14ac:dyDescent="0.35">
      <c r="A252" s="22">
        <f>YEAR(Tabela135[[#This Row],[Vencimento]])</f>
        <v>2025</v>
      </c>
      <c r="B252" s="23" t="str">
        <f>TEXT(D252,"mmmm")</f>
        <v>fevereiro</v>
      </c>
      <c r="C252" s="23">
        <f>DAY(Tabela135[[#This Row],[Vencimento]])</f>
        <v>20</v>
      </c>
      <c r="D252" s="24">
        <v>45708</v>
      </c>
      <c r="E252" s="24">
        <v>45708</v>
      </c>
      <c r="F252" s="34">
        <v>1000</v>
      </c>
      <c r="G252" s="35" t="s">
        <v>48</v>
      </c>
      <c r="H252" s="32" t="s">
        <v>49</v>
      </c>
      <c r="I252" s="32" t="s">
        <v>12</v>
      </c>
      <c r="J252" s="28" t="s">
        <v>13</v>
      </c>
      <c r="K252" s="27" t="str" cm="1">
        <f t="array" aca="1" ref="K25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3" spans="1:11" x14ac:dyDescent="0.35">
      <c r="A253" s="22">
        <f>YEAR(Tabela135[[#This Row],[Vencimento]])</f>
        <v>2025</v>
      </c>
      <c r="B253" s="23" t="str">
        <f>TEXT(D253,"mmmm")</f>
        <v>fevereiro</v>
      </c>
      <c r="C253" s="23">
        <f>DAY(Tabela135[[#This Row],[Vencimento]])</f>
        <v>20</v>
      </c>
      <c r="D253" s="24">
        <v>45708</v>
      </c>
      <c r="E253" s="24">
        <v>45708</v>
      </c>
      <c r="F253" s="34">
        <v>89</v>
      </c>
      <c r="G253" s="35" t="s">
        <v>50</v>
      </c>
      <c r="H253" s="32" t="s">
        <v>42</v>
      </c>
      <c r="I253" s="32" t="s">
        <v>15</v>
      </c>
      <c r="J253" s="28" t="s">
        <v>13</v>
      </c>
      <c r="K253" s="27" t="str" cm="1">
        <f t="array" aca="1" ref="K25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4" spans="1:11" x14ac:dyDescent="0.35">
      <c r="A254" s="32">
        <f>YEAR(Tabela135[[#This Row],[Vencimento]])</f>
        <v>2025</v>
      </c>
      <c r="B254" s="28" t="str">
        <f>TEXT(D254,"mmmm")</f>
        <v>janeiro</v>
      </c>
      <c r="C254" s="28">
        <f>DAY(Tabela135[[#This Row],[Vencimento]])</f>
        <v>5</v>
      </c>
      <c r="D254" s="24">
        <v>45662</v>
      </c>
      <c r="E254" s="24">
        <v>45662</v>
      </c>
      <c r="F254" s="34">
        <v>160</v>
      </c>
      <c r="G254" s="35" t="s">
        <v>21</v>
      </c>
      <c r="H254" s="32" t="s">
        <v>11</v>
      </c>
      <c r="I254" s="32" t="s">
        <v>12</v>
      </c>
      <c r="J254" s="28" t="s">
        <v>13</v>
      </c>
      <c r="K254" s="28" t="str" cm="1">
        <f t="array" aca="1" ref="K25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5" spans="1:11" x14ac:dyDescent="0.35">
      <c r="A255" s="19">
        <f>YEAR(Tabela135[[#This Row],[Vencimento]])</f>
        <v>2025</v>
      </c>
      <c r="B255" s="20" t="str">
        <f>TEXT(D255,"mmmm")</f>
        <v>janeiro</v>
      </c>
      <c r="C255" s="20">
        <f>DAY(Tabela135[[#This Row],[Vencimento]])</f>
        <v>5</v>
      </c>
      <c r="D255" s="24">
        <v>45662</v>
      </c>
      <c r="E255" s="24">
        <v>45662</v>
      </c>
      <c r="F255" s="34">
        <v>350</v>
      </c>
      <c r="G255" s="35" t="s">
        <v>10</v>
      </c>
      <c r="H255" s="32" t="s">
        <v>11</v>
      </c>
      <c r="I255" s="32" t="s">
        <v>12</v>
      </c>
      <c r="J255" s="28" t="s">
        <v>13</v>
      </c>
      <c r="K255" s="28" t="str" cm="1">
        <f t="array" aca="1" ref="K25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6" spans="1:11" x14ac:dyDescent="0.35">
      <c r="A256" s="22">
        <f>YEAR(Tabela135[[#This Row],[Vencimento]])</f>
        <v>2025</v>
      </c>
      <c r="B256" s="23" t="str">
        <f>TEXT(D256,"mmmm")</f>
        <v>janeiro</v>
      </c>
      <c r="C256" s="23">
        <f>DAY(Tabela135[[#This Row],[Vencimento]])</f>
        <v>20</v>
      </c>
      <c r="D256" s="24">
        <v>45677</v>
      </c>
      <c r="E256" s="24">
        <v>45677</v>
      </c>
      <c r="F256" s="34">
        <v>100</v>
      </c>
      <c r="G256" s="35" t="s">
        <v>20</v>
      </c>
      <c r="H256" s="32" t="s">
        <v>11</v>
      </c>
      <c r="I256" s="32" t="s">
        <v>12</v>
      </c>
      <c r="J256" s="28" t="s">
        <v>13</v>
      </c>
      <c r="K256" s="27" t="str" cm="1">
        <f t="array" aca="1" ref="K25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7" spans="1:11" x14ac:dyDescent="0.35">
      <c r="A257" s="22">
        <f>YEAR(Tabela135[[#This Row],[Vencimento]])</f>
        <v>2025</v>
      </c>
      <c r="B257" s="23" t="str">
        <f>TEXT(D257,"mmmm")</f>
        <v>janeiro</v>
      </c>
      <c r="C257" s="23">
        <f>DAY(Tabela135[[#This Row],[Vencimento]])</f>
        <v>20</v>
      </c>
      <c r="D257" s="24">
        <v>45677</v>
      </c>
      <c r="E257" s="24">
        <v>45677</v>
      </c>
      <c r="F257" s="34">
        <v>86</v>
      </c>
      <c r="G257" s="35" t="s">
        <v>18</v>
      </c>
      <c r="H257" s="32" t="s">
        <v>42</v>
      </c>
      <c r="I257" s="32" t="s">
        <v>15</v>
      </c>
      <c r="J257" s="28" t="s">
        <v>13</v>
      </c>
      <c r="K257" s="27" t="str" cm="1">
        <f t="array" aca="1" ref="K25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8" spans="1:11" x14ac:dyDescent="0.35">
      <c r="A258" s="22">
        <f>YEAR(Tabela135[[#This Row],[Vencimento]])</f>
        <v>2025</v>
      </c>
      <c r="B258" s="23" t="str">
        <f>TEXT(D258,"mmmm")</f>
        <v>janeiro</v>
      </c>
      <c r="C258" s="23">
        <f>DAY(Tabela135[[#This Row],[Vencimento]])</f>
        <v>20</v>
      </c>
      <c r="D258" s="24">
        <v>45677</v>
      </c>
      <c r="E258" s="24">
        <v>45677</v>
      </c>
      <c r="F258" s="34">
        <v>100</v>
      </c>
      <c r="G258" s="35" t="s">
        <v>43</v>
      </c>
      <c r="H258" s="32" t="s">
        <v>44</v>
      </c>
      <c r="I258" s="32" t="s">
        <v>12</v>
      </c>
      <c r="J258" s="28" t="s">
        <v>13</v>
      </c>
      <c r="K258" s="27" t="str" cm="1">
        <f t="array" aca="1" ref="K25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59" spans="1:11" x14ac:dyDescent="0.35">
      <c r="A259" s="22">
        <f>YEAR(Tabela135[[#This Row],[Vencimento]])</f>
        <v>2025</v>
      </c>
      <c r="B259" s="23" t="str">
        <f>TEXT(D259,"mmmm")</f>
        <v>janeiro</v>
      </c>
      <c r="C259" s="23">
        <f>DAY(Tabela135[[#This Row],[Vencimento]])</f>
        <v>5</v>
      </c>
      <c r="D259" s="24">
        <v>45662</v>
      </c>
      <c r="E259" s="24">
        <v>45663</v>
      </c>
      <c r="F259" s="34">
        <v>2500</v>
      </c>
      <c r="G259" s="35" t="s">
        <v>45</v>
      </c>
      <c r="H259" s="32" t="s">
        <v>11</v>
      </c>
      <c r="I259" s="32" t="s">
        <v>12</v>
      </c>
      <c r="J259" s="28" t="s">
        <v>13</v>
      </c>
      <c r="K259" s="27" t="str" cm="1">
        <f t="array" aca="1" ref="K25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60" spans="1:11" x14ac:dyDescent="0.35">
      <c r="A260" s="22">
        <f>YEAR(Tabela135[[#This Row],[Vencimento]])</f>
        <v>2025</v>
      </c>
      <c r="B260" s="23" t="str">
        <f>TEXT(D260,"mmmm")</f>
        <v>janeiro</v>
      </c>
      <c r="C260" s="23">
        <f>DAY(Tabela135[[#This Row],[Vencimento]])</f>
        <v>20</v>
      </c>
      <c r="D260" s="24">
        <v>45677</v>
      </c>
      <c r="E260" s="24">
        <v>45677</v>
      </c>
      <c r="F260" s="34">
        <v>800</v>
      </c>
      <c r="G260" s="35" t="s">
        <v>46</v>
      </c>
      <c r="H260" s="32" t="s">
        <v>47</v>
      </c>
      <c r="I260" s="32" t="s">
        <v>12</v>
      </c>
      <c r="J260" s="28" t="s">
        <v>13</v>
      </c>
      <c r="K260" s="27" t="str" cm="1">
        <f t="array" aca="1" ref="K26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61" spans="1:11" x14ac:dyDescent="0.35">
      <c r="A261" s="22">
        <f>YEAR(Tabela135[[#This Row],[Vencimento]])</f>
        <v>2025</v>
      </c>
      <c r="B261" s="23" t="str">
        <f>TEXT(D261,"mmmm")</f>
        <v>janeiro</v>
      </c>
      <c r="C261" s="23">
        <f>DAY(Tabela135[[#This Row],[Vencimento]])</f>
        <v>20</v>
      </c>
      <c r="D261" s="24">
        <v>45677</v>
      </c>
      <c r="E261" s="24">
        <v>45677</v>
      </c>
      <c r="F261" s="34">
        <v>1000</v>
      </c>
      <c r="G261" s="35" t="s">
        <v>48</v>
      </c>
      <c r="H261" s="32" t="s">
        <v>49</v>
      </c>
      <c r="I261" s="32" t="s">
        <v>12</v>
      </c>
      <c r="J261" s="28" t="s">
        <v>13</v>
      </c>
      <c r="K261" s="27" t="str" cm="1">
        <f t="array" aca="1" ref="K26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62" spans="1:11" x14ac:dyDescent="0.35">
      <c r="A262" s="22">
        <f>YEAR(Tabela135[[#This Row],[Vencimento]])</f>
        <v>2025</v>
      </c>
      <c r="B262" s="23" t="str">
        <f>TEXT(D262,"mmmm")</f>
        <v>janeiro</v>
      </c>
      <c r="C262" s="23">
        <f>DAY(Tabela135[[#This Row],[Vencimento]])</f>
        <v>20</v>
      </c>
      <c r="D262" s="24">
        <v>45677</v>
      </c>
      <c r="E262" s="24">
        <v>45677</v>
      </c>
      <c r="F262" s="34">
        <v>86</v>
      </c>
      <c r="G262" s="35" t="s">
        <v>50</v>
      </c>
      <c r="H262" s="32" t="s">
        <v>42</v>
      </c>
      <c r="I262" s="32" t="s">
        <v>15</v>
      </c>
      <c r="J262" s="28" t="s">
        <v>13</v>
      </c>
      <c r="K262" s="27" t="str" cm="1">
        <f t="array" aca="1" ref="K26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63" spans="1:11" x14ac:dyDescent="0.35">
      <c r="A263" s="32">
        <f>YEAR(Tabela135[[#This Row],[Vencimento]])</f>
        <v>2025</v>
      </c>
      <c r="B263" s="28" t="str">
        <f>TEXT(D263,"mmmm")</f>
        <v>julho</v>
      </c>
      <c r="C263" s="28">
        <f>DAY(Tabela135[[#This Row],[Vencimento]])</f>
        <v>5</v>
      </c>
      <c r="D263" s="24">
        <v>45843</v>
      </c>
      <c r="E263" s="24">
        <v>45842</v>
      </c>
      <c r="F263" s="34">
        <v>160</v>
      </c>
      <c r="G263" s="35" t="s">
        <v>21</v>
      </c>
      <c r="H263" s="32" t="s">
        <v>11</v>
      </c>
      <c r="I263" s="32" t="s">
        <v>12</v>
      </c>
      <c r="J263" s="28" t="s">
        <v>13</v>
      </c>
      <c r="K263" s="28" t="str" cm="1">
        <f t="array" aca="1" ref="K26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64" spans="1:11" x14ac:dyDescent="0.35">
      <c r="A264" s="22">
        <f>YEAR(Tabela135[[#This Row],[Vencimento]])</f>
        <v>2025</v>
      </c>
      <c r="B264" s="23" t="str">
        <f>TEXT(D264,"mmmm")</f>
        <v>julho</v>
      </c>
      <c r="C264" s="23">
        <f>DAY(Tabela135[[#This Row],[Vencimento]])</f>
        <v>5</v>
      </c>
      <c r="D264" s="24">
        <v>45843</v>
      </c>
      <c r="E264" s="24">
        <v>45842</v>
      </c>
      <c r="F264" s="34">
        <v>350</v>
      </c>
      <c r="G264" s="35" t="s">
        <v>10</v>
      </c>
      <c r="H264" s="39" t="s">
        <v>11</v>
      </c>
      <c r="I264" s="39" t="s">
        <v>12</v>
      </c>
      <c r="J264" s="28" t="s">
        <v>13</v>
      </c>
      <c r="K264" s="28" t="str" cm="1">
        <f t="array" aca="1" ref="K26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65" spans="1:11" x14ac:dyDescent="0.35">
      <c r="A265" s="22">
        <f>YEAR(Tabela135[[#This Row],[Vencimento]])</f>
        <v>2025</v>
      </c>
      <c r="B265" s="23" t="str">
        <f>TEXT(D265,"mmmm")</f>
        <v>julho</v>
      </c>
      <c r="C265" s="23">
        <f>DAY(Tabela135[[#This Row],[Vencimento]])</f>
        <v>20</v>
      </c>
      <c r="D265" s="24">
        <v>45858</v>
      </c>
      <c r="E265" s="24">
        <v>45859</v>
      </c>
      <c r="F265" s="34">
        <v>100</v>
      </c>
      <c r="G265" s="35" t="s">
        <v>20</v>
      </c>
      <c r="H265" s="39" t="s">
        <v>11</v>
      </c>
      <c r="I265" s="39" t="s">
        <v>12</v>
      </c>
      <c r="J265" s="28" t="s">
        <v>13</v>
      </c>
      <c r="K265" s="27" t="str" cm="1">
        <f t="array" aca="1" ref="K26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66" spans="1:11" x14ac:dyDescent="0.35">
      <c r="A266" s="22">
        <f>YEAR(Tabela135[[#This Row],[Vencimento]])</f>
        <v>2025</v>
      </c>
      <c r="B266" s="23" t="str">
        <f>TEXT(D266,"mmmm")</f>
        <v>julho</v>
      </c>
      <c r="C266" s="23">
        <f>DAY(Tabela135[[#This Row],[Vencimento]])</f>
        <v>20</v>
      </c>
      <c r="D266" s="24">
        <v>45858</v>
      </c>
      <c r="E266" s="24">
        <v>45859</v>
      </c>
      <c r="F266" s="34">
        <v>456</v>
      </c>
      <c r="G266" s="35" t="s">
        <v>18</v>
      </c>
      <c r="H266" s="32" t="s">
        <v>42</v>
      </c>
      <c r="I266" s="32" t="s">
        <v>15</v>
      </c>
      <c r="J266" s="28" t="s">
        <v>13</v>
      </c>
      <c r="K266" s="27" t="str" cm="1">
        <f t="array" aca="1" ref="K26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67" spans="1:11" x14ac:dyDescent="0.35">
      <c r="A267" s="22">
        <f>YEAR(Tabela135[[#This Row],[Vencimento]])</f>
        <v>2025</v>
      </c>
      <c r="B267" s="23" t="str">
        <f>TEXT(D267,"mmmm")</f>
        <v>julho</v>
      </c>
      <c r="C267" s="23">
        <f>DAY(Tabela135[[#This Row],[Vencimento]])</f>
        <v>20</v>
      </c>
      <c r="D267" s="24">
        <v>45858</v>
      </c>
      <c r="E267" s="24">
        <v>45858</v>
      </c>
      <c r="F267" s="34">
        <v>100</v>
      </c>
      <c r="G267" s="35" t="s">
        <v>43</v>
      </c>
      <c r="H267" s="32" t="s">
        <v>44</v>
      </c>
      <c r="I267" s="32" t="s">
        <v>12</v>
      </c>
      <c r="J267" s="28" t="s">
        <v>13</v>
      </c>
      <c r="K267" s="27" t="str" cm="1">
        <f t="array" aca="1" ref="K26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68" spans="1:11" x14ac:dyDescent="0.35">
      <c r="A268" s="22">
        <f>YEAR(Tabela135[[#This Row],[Vencimento]])</f>
        <v>2025</v>
      </c>
      <c r="B268" s="23" t="str">
        <f>TEXT(D268,"mmmm")</f>
        <v>julho</v>
      </c>
      <c r="C268" s="23">
        <f>DAY(Tabela135[[#This Row],[Vencimento]])</f>
        <v>5</v>
      </c>
      <c r="D268" s="24">
        <v>45843</v>
      </c>
      <c r="E268" s="24">
        <v>45842</v>
      </c>
      <c r="F268" s="34">
        <v>2500</v>
      </c>
      <c r="G268" s="35" t="s">
        <v>45</v>
      </c>
      <c r="H268" s="32" t="s">
        <v>11</v>
      </c>
      <c r="I268" s="32" t="s">
        <v>12</v>
      </c>
      <c r="J268" s="28" t="s">
        <v>13</v>
      </c>
      <c r="K268" s="27" t="str" cm="1">
        <f t="array" aca="1" ref="K26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69" spans="1:11" x14ac:dyDescent="0.35">
      <c r="A269" s="22">
        <f>YEAR(Tabela135[[#This Row],[Vencimento]])</f>
        <v>2025</v>
      </c>
      <c r="B269" s="23" t="str">
        <f>TEXT(D269,"mmmm")</f>
        <v>julho</v>
      </c>
      <c r="C269" s="23">
        <f>DAY(Tabela135[[#This Row],[Vencimento]])</f>
        <v>20</v>
      </c>
      <c r="D269" s="24">
        <v>45858</v>
      </c>
      <c r="E269" s="24">
        <v>45858</v>
      </c>
      <c r="F269" s="34">
        <v>800</v>
      </c>
      <c r="G269" s="35" t="s">
        <v>46</v>
      </c>
      <c r="H269" s="32" t="s">
        <v>47</v>
      </c>
      <c r="I269" s="32" t="s">
        <v>12</v>
      </c>
      <c r="J269" s="28" t="s">
        <v>13</v>
      </c>
      <c r="K269" s="27" t="str" cm="1">
        <f t="array" aca="1" ref="K26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70" spans="1:11" x14ac:dyDescent="0.35">
      <c r="A270" s="22">
        <f>YEAR(Tabela135[[#This Row],[Vencimento]])</f>
        <v>2025</v>
      </c>
      <c r="B270" s="23" t="str">
        <f>TEXT(D270,"mmmm")</f>
        <v>julho</v>
      </c>
      <c r="C270" s="23">
        <f>DAY(Tabela135[[#This Row],[Vencimento]])</f>
        <v>20</v>
      </c>
      <c r="D270" s="24">
        <v>45858</v>
      </c>
      <c r="E270" s="24">
        <v>45858</v>
      </c>
      <c r="F270" s="34">
        <v>1000</v>
      </c>
      <c r="G270" s="35" t="s">
        <v>48</v>
      </c>
      <c r="H270" s="32" t="s">
        <v>49</v>
      </c>
      <c r="I270" s="32" t="s">
        <v>12</v>
      </c>
      <c r="J270" s="28" t="s">
        <v>13</v>
      </c>
      <c r="K270" s="27" t="str" cm="1">
        <f t="array" aca="1" ref="K27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71" spans="1:11" x14ac:dyDescent="0.35">
      <c r="A271" s="22">
        <f>YEAR(Tabela135[[#This Row],[Vencimento]])</f>
        <v>2025</v>
      </c>
      <c r="B271" s="23" t="str">
        <f>TEXT(D271,"mmmm")</f>
        <v>julho</v>
      </c>
      <c r="C271" s="23">
        <f>DAY(Tabela135[[#This Row],[Vencimento]])</f>
        <v>20</v>
      </c>
      <c r="D271" s="24">
        <v>45858</v>
      </c>
      <c r="E271" s="24">
        <v>45859</v>
      </c>
      <c r="F271" s="34">
        <v>231</v>
      </c>
      <c r="G271" s="35" t="s">
        <v>50</v>
      </c>
      <c r="H271" s="32" t="s">
        <v>42</v>
      </c>
      <c r="I271" s="32" t="s">
        <v>15</v>
      </c>
      <c r="J271" s="28" t="s">
        <v>13</v>
      </c>
      <c r="K271" s="27" t="str" cm="1">
        <f t="array" aca="1" ref="K27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72" spans="1:11" x14ac:dyDescent="0.35">
      <c r="A272" s="32">
        <f>YEAR(Tabela135[[#This Row],[Vencimento]])</f>
        <v>2025</v>
      </c>
      <c r="B272" s="28" t="str">
        <f>TEXT(D272,"mmmm")</f>
        <v>junho</v>
      </c>
      <c r="C272" s="28">
        <f>DAY(Tabela135[[#This Row],[Vencimento]])</f>
        <v>5</v>
      </c>
      <c r="D272" s="24">
        <v>45813</v>
      </c>
      <c r="E272" s="24">
        <v>45813</v>
      </c>
      <c r="F272" s="34">
        <v>160</v>
      </c>
      <c r="G272" s="35" t="s">
        <v>21</v>
      </c>
      <c r="H272" s="32" t="s">
        <v>11</v>
      </c>
      <c r="I272" s="32" t="s">
        <v>12</v>
      </c>
      <c r="J272" s="28" t="s">
        <v>13</v>
      </c>
      <c r="K272" s="28" t="str" cm="1">
        <f t="array" aca="1" ref="K27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73" spans="1:11" x14ac:dyDescent="0.35">
      <c r="A273" s="22">
        <f>YEAR(Tabela135[[#This Row],[Vencimento]])</f>
        <v>2025</v>
      </c>
      <c r="B273" s="23" t="str">
        <f>TEXT(D273,"mmmm")</f>
        <v>junho</v>
      </c>
      <c r="C273" s="23">
        <f>DAY(Tabela135[[#This Row],[Vencimento]])</f>
        <v>5</v>
      </c>
      <c r="D273" s="24">
        <v>45813</v>
      </c>
      <c r="E273" s="24">
        <v>45813</v>
      </c>
      <c r="F273" s="34">
        <v>350</v>
      </c>
      <c r="G273" s="35" t="s">
        <v>10</v>
      </c>
      <c r="H273" s="39" t="s">
        <v>11</v>
      </c>
      <c r="I273" s="39" t="s">
        <v>12</v>
      </c>
      <c r="J273" s="28" t="s">
        <v>13</v>
      </c>
      <c r="K273" s="28" t="str" cm="1">
        <f t="array" aca="1" ref="K27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74" spans="1:11" x14ac:dyDescent="0.35">
      <c r="A274" s="22">
        <f>YEAR(Tabela135[[#This Row],[Vencimento]])</f>
        <v>2025</v>
      </c>
      <c r="B274" s="23" t="str">
        <f>TEXT(D274,"mmmm")</f>
        <v>junho</v>
      </c>
      <c r="C274" s="23">
        <f>DAY(Tabela135[[#This Row],[Vencimento]])</f>
        <v>20</v>
      </c>
      <c r="D274" s="24">
        <v>45828</v>
      </c>
      <c r="E274" s="24">
        <v>45831</v>
      </c>
      <c r="F274" s="34">
        <v>100</v>
      </c>
      <c r="G274" s="35" t="s">
        <v>20</v>
      </c>
      <c r="H274" s="39" t="s">
        <v>11</v>
      </c>
      <c r="I274" s="39" t="s">
        <v>12</v>
      </c>
      <c r="J274" s="28" t="s">
        <v>13</v>
      </c>
      <c r="K274" s="27" t="str" cm="1">
        <f t="array" aca="1" ref="K27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75" spans="1:11" x14ac:dyDescent="0.35">
      <c r="A275" s="22">
        <f>YEAR(Tabela135[[#This Row],[Vencimento]])</f>
        <v>2025</v>
      </c>
      <c r="B275" s="23" t="str">
        <f>TEXT(D275,"mmmm")</f>
        <v>junho</v>
      </c>
      <c r="C275" s="23">
        <f>DAY(Tabela135[[#This Row],[Vencimento]])</f>
        <v>20</v>
      </c>
      <c r="D275" s="24">
        <v>45828</v>
      </c>
      <c r="E275" s="24">
        <v>45831</v>
      </c>
      <c r="F275" s="34">
        <v>978</v>
      </c>
      <c r="G275" s="35" t="s">
        <v>18</v>
      </c>
      <c r="H275" s="32" t="s">
        <v>42</v>
      </c>
      <c r="I275" s="32" t="s">
        <v>15</v>
      </c>
      <c r="J275" s="28" t="s">
        <v>13</v>
      </c>
      <c r="K275" s="27" t="str" cm="1">
        <f t="array" aca="1" ref="K27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76" spans="1:11" x14ac:dyDescent="0.35">
      <c r="A276" s="22">
        <f>YEAR(Tabela135[[#This Row],[Vencimento]])</f>
        <v>2025</v>
      </c>
      <c r="B276" s="23" t="str">
        <f>TEXT(D276,"mmmm")</f>
        <v>junho</v>
      </c>
      <c r="C276" s="23">
        <f>DAY(Tabela135[[#This Row],[Vencimento]])</f>
        <v>20</v>
      </c>
      <c r="D276" s="24">
        <v>45828</v>
      </c>
      <c r="E276" s="24">
        <v>45831</v>
      </c>
      <c r="F276" s="34">
        <v>100</v>
      </c>
      <c r="G276" s="35" t="s">
        <v>43</v>
      </c>
      <c r="H276" s="32" t="s">
        <v>44</v>
      </c>
      <c r="I276" s="32" t="s">
        <v>12</v>
      </c>
      <c r="J276" s="28" t="s">
        <v>13</v>
      </c>
      <c r="K276" s="27" t="str" cm="1">
        <f t="array" aca="1" ref="K27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77" spans="1:11" x14ac:dyDescent="0.35">
      <c r="A277" s="22">
        <f>YEAR(Tabela135[[#This Row],[Vencimento]])</f>
        <v>2025</v>
      </c>
      <c r="B277" s="23" t="str">
        <f>TEXT(D277,"mmmm")</f>
        <v>junho</v>
      </c>
      <c r="C277" s="23">
        <f>DAY(Tabela135[[#This Row],[Vencimento]])</f>
        <v>5</v>
      </c>
      <c r="D277" s="24">
        <v>45813</v>
      </c>
      <c r="E277" s="24">
        <v>45813</v>
      </c>
      <c r="F277" s="34">
        <v>2500</v>
      </c>
      <c r="G277" s="35" t="s">
        <v>45</v>
      </c>
      <c r="H277" s="32" t="s">
        <v>11</v>
      </c>
      <c r="I277" s="32" t="s">
        <v>12</v>
      </c>
      <c r="J277" s="28" t="s">
        <v>13</v>
      </c>
      <c r="K277" s="27" t="str" cm="1">
        <f t="array" aca="1" ref="K27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78" spans="1:11" x14ac:dyDescent="0.35">
      <c r="A278" s="22">
        <f>YEAR(Tabela135[[#This Row],[Vencimento]])</f>
        <v>2025</v>
      </c>
      <c r="B278" s="23" t="str">
        <f>TEXT(D278,"mmmm")</f>
        <v>junho</v>
      </c>
      <c r="C278" s="23">
        <f>DAY(Tabela135[[#This Row],[Vencimento]])</f>
        <v>20</v>
      </c>
      <c r="D278" s="24">
        <v>45828</v>
      </c>
      <c r="E278" s="24">
        <v>45831</v>
      </c>
      <c r="F278" s="34">
        <v>800</v>
      </c>
      <c r="G278" s="35" t="s">
        <v>46</v>
      </c>
      <c r="H278" s="32" t="s">
        <v>47</v>
      </c>
      <c r="I278" s="32" t="s">
        <v>12</v>
      </c>
      <c r="J278" s="28" t="s">
        <v>13</v>
      </c>
      <c r="K278" s="27" t="str" cm="1">
        <f t="array" aca="1" ref="K27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79" spans="1:11" x14ac:dyDescent="0.35">
      <c r="A279" s="22">
        <f>YEAR(Tabela135[[#This Row],[Vencimento]])</f>
        <v>2025</v>
      </c>
      <c r="B279" s="23" t="str">
        <f>TEXT(D279,"mmmm")</f>
        <v>junho</v>
      </c>
      <c r="C279" s="23">
        <f>DAY(Tabela135[[#This Row],[Vencimento]])</f>
        <v>20</v>
      </c>
      <c r="D279" s="24">
        <v>45828</v>
      </c>
      <c r="E279" s="24">
        <v>45831</v>
      </c>
      <c r="F279" s="34">
        <v>1000</v>
      </c>
      <c r="G279" s="35" t="s">
        <v>48</v>
      </c>
      <c r="H279" s="32" t="s">
        <v>49</v>
      </c>
      <c r="I279" s="32" t="s">
        <v>12</v>
      </c>
      <c r="J279" s="28" t="s">
        <v>13</v>
      </c>
      <c r="K279" s="27" t="str" cm="1">
        <f t="array" aca="1" ref="K27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80" spans="1:11" x14ac:dyDescent="0.35">
      <c r="A280" s="22">
        <f>YEAR(Tabela135[[#This Row],[Vencimento]])</f>
        <v>2025</v>
      </c>
      <c r="B280" s="23" t="str">
        <f>TEXT(D280,"mmmm")</f>
        <v>junho</v>
      </c>
      <c r="C280" s="23">
        <f>DAY(Tabela135[[#This Row],[Vencimento]])</f>
        <v>20</v>
      </c>
      <c r="D280" s="24">
        <v>45828</v>
      </c>
      <c r="E280" s="24">
        <v>45831</v>
      </c>
      <c r="F280" s="34">
        <v>432</v>
      </c>
      <c r="G280" s="35" t="s">
        <v>50</v>
      </c>
      <c r="H280" s="32" t="s">
        <v>42</v>
      </c>
      <c r="I280" s="32" t="s">
        <v>15</v>
      </c>
      <c r="J280" s="28" t="s">
        <v>13</v>
      </c>
      <c r="K280" s="27" t="str" cm="1">
        <f t="array" aca="1" ref="K28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81" spans="1:11" x14ac:dyDescent="0.35">
      <c r="A281" s="32">
        <f>YEAR(Tabela135[[#This Row],[Vencimento]])</f>
        <v>2025</v>
      </c>
      <c r="B281" s="28" t="str">
        <f>TEXT(D281,"mmmm")</f>
        <v>maio</v>
      </c>
      <c r="C281" s="28">
        <f>DAY(Tabela135[[#This Row],[Vencimento]])</f>
        <v>5</v>
      </c>
      <c r="D281" s="24">
        <v>45782</v>
      </c>
      <c r="E281" s="24">
        <v>45782</v>
      </c>
      <c r="F281" s="34">
        <v>160</v>
      </c>
      <c r="G281" s="35" t="s">
        <v>21</v>
      </c>
      <c r="H281" s="32" t="s">
        <v>11</v>
      </c>
      <c r="I281" s="32" t="s">
        <v>12</v>
      </c>
      <c r="J281" s="28" t="s">
        <v>13</v>
      </c>
      <c r="K281" s="28" t="str" cm="1">
        <f t="array" aca="1" ref="K28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82" spans="1:11" x14ac:dyDescent="0.35">
      <c r="A282" s="19">
        <f>YEAR(Tabela135[[#This Row],[Vencimento]])</f>
        <v>2025</v>
      </c>
      <c r="B282" s="20" t="str">
        <f>TEXT(D282,"mmmm")</f>
        <v>maio</v>
      </c>
      <c r="C282" s="20">
        <f>DAY(Tabela135[[#This Row],[Vencimento]])</f>
        <v>5</v>
      </c>
      <c r="D282" s="24">
        <v>45782</v>
      </c>
      <c r="E282" s="24">
        <v>45782</v>
      </c>
      <c r="F282" s="34">
        <v>350</v>
      </c>
      <c r="G282" s="35" t="s">
        <v>10</v>
      </c>
      <c r="H282" s="32" t="s">
        <v>11</v>
      </c>
      <c r="I282" s="32" t="s">
        <v>12</v>
      </c>
      <c r="J282" s="28" t="s">
        <v>13</v>
      </c>
      <c r="K282" s="28" t="str" cm="1">
        <f t="array" aca="1" ref="K28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83" spans="1:11" x14ac:dyDescent="0.35">
      <c r="A283" s="22">
        <f>YEAR(Tabela135[[#This Row],[Vencimento]])</f>
        <v>2025</v>
      </c>
      <c r="B283" s="23" t="str">
        <f>TEXT(D283,"mmmm")</f>
        <v>maio</v>
      </c>
      <c r="C283" s="23">
        <f>DAY(Tabela135[[#This Row],[Vencimento]])</f>
        <v>20</v>
      </c>
      <c r="D283" s="24">
        <v>45797</v>
      </c>
      <c r="E283" s="24">
        <v>45799</v>
      </c>
      <c r="F283" s="34">
        <v>100</v>
      </c>
      <c r="G283" s="35" t="s">
        <v>20</v>
      </c>
      <c r="H283" s="32" t="s">
        <v>11</v>
      </c>
      <c r="I283" s="32" t="s">
        <v>12</v>
      </c>
      <c r="J283" s="28" t="s">
        <v>13</v>
      </c>
      <c r="K283" s="27" t="str" cm="1">
        <f t="array" aca="1" ref="K28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84" spans="1:11" x14ac:dyDescent="0.35">
      <c r="A284" s="22">
        <f>YEAR(Tabela135[[#This Row],[Vencimento]])</f>
        <v>2025</v>
      </c>
      <c r="B284" s="23" t="str">
        <f>TEXT(D284,"mmmm")</f>
        <v>maio</v>
      </c>
      <c r="C284" s="23">
        <f>DAY(Tabela135[[#This Row],[Vencimento]])</f>
        <v>20</v>
      </c>
      <c r="D284" s="24">
        <v>45797</v>
      </c>
      <c r="E284" s="24">
        <v>45799</v>
      </c>
      <c r="F284" s="34">
        <v>1880</v>
      </c>
      <c r="G284" s="35" t="s">
        <v>18</v>
      </c>
      <c r="H284" s="32" t="s">
        <v>42</v>
      </c>
      <c r="I284" s="32" t="s">
        <v>15</v>
      </c>
      <c r="J284" s="28" t="s">
        <v>13</v>
      </c>
      <c r="K284" s="27" t="str" cm="1">
        <f t="array" aca="1" ref="K28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85" spans="1:11" x14ac:dyDescent="0.35">
      <c r="A285" s="22">
        <f>YEAR(Tabela135[[#This Row],[Vencimento]])</f>
        <v>2025</v>
      </c>
      <c r="B285" s="23" t="str">
        <f>TEXT(D285,"mmmm")</f>
        <v>maio</v>
      </c>
      <c r="C285" s="23">
        <f>DAY(Tabela135[[#This Row],[Vencimento]])</f>
        <v>20</v>
      </c>
      <c r="D285" s="24">
        <v>45797</v>
      </c>
      <c r="E285" s="24">
        <v>45799</v>
      </c>
      <c r="F285" s="34">
        <v>100</v>
      </c>
      <c r="G285" s="35" t="s">
        <v>43</v>
      </c>
      <c r="H285" s="32" t="s">
        <v>44</v>
      </c>
      <c r="I285" s="32" t="s">
        <v>12</v>
      </c>
      <c r="J285" s="28" t="s">
        <v>13</v>
      </c>
      <c r="K285" s="27" t="str" cm="1">
        <f t="array" aca="1" ref="K28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86" spans="1:11" x14ac:dyDescent="0.35">
      <c r="A286" s="22">
        <f>YEAR(Tabela135[[#This Row],[Vencimento]])</f>
        <v>2025</v>
      </c>
      <c r="B286" s="23" t="str">
        <f>TEXT(D286,"mmmm")</f>
        <v>maio</v>
      </c>
      <c r="C286" s="23">
        <f>DAY(Tabela135[[#This Row],[Vencimento]])</f>
        <v>5</v>
      </c>
      <c r="D286" s="24">
        <v>45782</v>
      </c>
      <c r="E286" s="24">
        <v>45782</v>
      </c>
      <c r="F286" s="34">
        <v>2500</v>
      </c>
      <c r="G286" s="35" t="s">
        <v>45</v>
      </c>
      <c r="H286" s="32" t="s">
        <v>11</v>
      </c>
      <c r="I286" s="32" t="s">
        <v>12</v>
      </c>
      <c r="J286" s="28" t="s">
        <v>13</v>
      </c>
      <c r="K286" s="27" t="str" cm="1">
        <f t="array" aca="1" ref="K28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87" spans="1:11" x14ac:dyDescent="0.35">
      <c r="A287" s="22">
        <f>YEAR(Tabela135[[#This Row],[Vencimento]])</f>
        <v>2025</v>
      </c>
      <c r="B287" s="23" t="str">
        <f>TEXT(D287,"mmmm")</f>
        <v>maio</v>
      </c>
      <c r="C287" s="23">
        <f>DAY(Tabela135[[#This Row],[Vencimento]])</f>
        <v>20</v>
      </c>
      <c r="D287" s="24">
        <v>45797</v>
      </c>
      <c r="E287" s="24">
        <v>45799</v>
      </c>
      <c r="F287" s="34">
        <v>800</v>
      </c>
      <c r="G287" s="35" t="s">
        <v>46</v>
      </c>
      <c r="H287" s="32" t="s">
        <v>47</v>
      </c>
      <c r="I287" s="32" t="s">
        <v>12</v>
      </c>
      <c r="J287" s="28" t="s">
        <v>13</v>
      </c>
      <c r="K287" s="27" t="str" cm="1">
        <f t="array" aca="1" ref="K28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88" spans="1:11" x14ac:dyDescent="0.35">
      <c r="A288" s="22">
        <f>YEAR(Tabela135[[#This Row],[Vencimento]])</f>
        <v>2025</v>
      </c>
      <c r="B288" s="23" t="str">
        <f>TEXT(D288,"mmmm")</f>
        <v>maio</v>
      </c>
      <c r="C288" s="23">
        <f>DAY(Tabela135[[#This Row],[Vencimento]])</f>
        <v>20</v>
      </c>
      <c r="D288" s="24">
        <v>45797</v>
      </c>
      <c r="E288" s="24">
        <v>45799</v>
      </c>
      <c r="F288" s="34">
        <v>1000</v>
      </c>
      <c r="G288" s="35" t="s">
        <v>48</v>
      </c>
      <c r="H288" s="32" t="s">
        <v>49</v>
      </c>
      <c r="I288" s="32" t="s">
        <v>12</v>
      </c>
      <c r="J288" s="28" t="s">
        <v>13</v>
      </c>
      <c r="K288" s="27" t="str" cm="1">
        <f t="array" aca="1" ref="K28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89" spans="1:11" x14ac:dyDescent="0.35">
      <c r="A289" s="42">
        <f>YEAR(Tabela135[[#This Row],[Vencimento]])</f>
        <v>2025</v>
      </c>
      <c r="B289" s="25" t="str">
        <f>TEXT(D289,"mmmm")</f>
        <v>maio</v>
      </c>
      <c r="C289" s="25">
        <f>DAY(Tabela135[[#This Row],[Vencimento]])</f>
        <v>20</v>
      </c>
      <c r="D289" s="24">
        <v>45797</v>
      </c>
      <c r="E289" s="24">
        <v>45799</v>
      </c>
      <c r="F289" s="34">
        <v>123</v>
      </c>
      <c r="G289" s="35" t="s">
        <v>50</v>
      </c>
      <c r="H289" s="32" t="s">
        <v>42</v>
      </c>
      <c r="I289" s="43" t="s">
        <v>15</v>
      </c>
      <c r="J289" s="31" t="s">
        <v>13</v>
      </c>
      <c r="K289" s="38" t="str" cm="1">
        <f t="array" aca="1" ref="K28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90" spans="1:11" x14ac:dyDescent="0.35">
      <c r="A290" s="32">
        <f>YEAR(Tabela135[[#This Row],[Vencimento]])</f>
        <v>2025</v>
      </c>
      <c r="B290" s="28" t="str">
        <f>TEXT(D290,"mmmm")</f>
        <v>março</v>
      </c>
      <c r="C290" s="28">
        <f>DAY(Tabela135[[#This Row],[Vencimento]])</f>
        <v>5</v>
      </c>
      <c r="D290" s="24">
        <v>45721</v>
      </c>
      <c r="E290" s="33">
        <v>45723</v>
      </c>
      <c r="F290" s="34">
        <v>160</v>
      </c>
      <c r="G290" s="35" t="s">
        <v>21</v>
      </c>
      <c r="H290" s="32" t="s">
        <v>11</v>
      </c>
      <c r="I290" s="32" t="s">
        <v>12</v>
      </c>
      <c r="J290" s="28" t="s">
        <v>13</v>
      </c>
      <c r="K290" s="28" t="str" cm="1">
        <f t="array" aca="1" ref="K29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91" spans="1:11" x14ac:dyDescent="0.35">
      <c r="A291" s="19">
        <f>YEAR(Tabela135[[#This Row],[Vencimento]])</f>
        <v>2025</v>
      </c>
      <c r="B291" s="20" t="str">
        <f>TEXT(D291,"mmmm")</f>
        <v>março</v>
      </c>
      <c r="C291" s="20">
        <f>DAY(Tabela135[[#This Row],[Vencimento]])</f>
        <v>5</v>
      </c>
      <c r="D291" s="24">
        <v>45721</v>
      </c>
      <c r="E291" s="33">
        <v>45723</v>
      </c>
      <c r="F291" s="34">
        <v>350</v>
      </c>
      <c r="G291" s="35" t="s">
        <v>10</v>
      </c>
      <c r="H291" s="32" t="s">
        <v>11</v>
      </c>
      <c r="I291" s="32" t="s">
        <v>12</v>
      </c>
      <c r="J291" s="28" t="s">
        <v>13</v>
      </c>
      <c r="K291" s="28" t="str" cm="1">
        <f t="array" aca="1" ref="K29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292" spans="1:11" x14ac:dyDescent="0.35">
      <c r="A292" s="22">
        <f>YEAR(Tabela135[[#This Row],[Vencimento]])</f>
        <v>2025</v>
      </c>
      <c r="B292" s="23" t="str">
        <f>TEXT(D292,"mmmm")</f>
        <v>março</v>
      </c>
      <c r="C292" s="23">
        <f>DAY(Tabela135[[#This Row],[Vencimento]])</f>
        <v>20</v>
      </c>
      <c r="D292" s="24">
        <v>45736</v>
      </c>
      <c r="E292" s="33">
        <v>45736</v>
      </c>
      <c r="F292" s="34">
        <v>100</v>
      </c>
      <c r="G292" s="35" t="s">
        <v>20</v>
      </c>
      <c r="H292" s="32" t="s">
        <v>11</v>
      </c>
      <c r="I292" s="32" t="s">
        <v>12</v>
      </c>
      <c r="J292" s="28" t="s">
        <v>13</v>
      </c>
      <c r="K292" s="27" t="str" cm="1">
        <f t="array" aca="1" ref="K29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93" spans="1:11" x14ac:dyDescent="0.35">
      <c r="A293" s="22">
        <f>YEAR(Tabela135[[#This Row],[Vencimento]])</f>
        <v>2025</v>
      </c>
      <c r="B293" s="23" t="str">
        <f>TEXT(D293,"mmmm")</f>
        <v>março</v>
      </c>
      <c r="C293" s="23">
        <f>DAY(Tabela135[[#This Row],[Vencimento]])</f>
        <v>20</v>
      </c>
      <c r="D293" s="24">
        <v>45736</v>
      </c>
      <c r="E293" s="33">
        <v>45736</v>
      </c>
      <c r="F293" s="34">
        <v>876</v>
      </c>
      <c r="G293" s="35" t="s">
        <v>18</v>
      </c>
      <c r="H293" s="32" t="s">
        <v>42</v>
      </c>
      <c r="I293" s="32" t="s">
        <v>15</v>
      </c>
      <c r="J293" s="28" t="s">
        <v>13</v>
      </c>
      <c r="K293" s="27" t="str" cm="1">
        <f t="array" aca="1" ref="K29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94" spans="1:11" x14ac:dyDescent="0.35">
      <c r="A294" s="22">
        <f>YEAR(Tabela135[[#This Row],[Vencimento]])</f>
        <v>2025</v>
      </c>
      <c r="B294" s="23" t="str">
        <f>TEXT(D294,"mmmm")</f>
        <v>março</v>
      </c>
      <c r="C294" s="23">
        <f>DAY(Tabela135[[#This Row],[Vencimento]])</f>
        <v>20</v>
      </c>
      <c r="D294" s="24">
        <v>45736</v>
      </c>
      <c r="E294" s="33">
        <v>45736</v>
      </c>
      <c r="F294" s="34">
        <v>100</v>
      </c>
      <c r="G294" s="35" t="s">
        <v>43</v>
      </c>
      <c r="H294" s="32" t="s">
        <v>44</v>
      </c>
      <c r="I294" s="32" t="s">
        <v>12</v>
      </c>
      <c r="J294" s="28" t="s">
        <v>13</v>
      </c>
      <c r="K294" s="27" t="str" cm="1">
        <f t="array" aca="1" ref="K29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95" spans="1:11" x14ac:dyDescent="0.35">
      <c r="A295" s="22">
        <f>YEAR(Tabela135[[#This Row],[Vencimento]])</f>
        <v>2025</v>
      </c>
      <c r="B295" s="23" t="str">
        <f>TEXT(D295,"mmmm")</f>
        <v>março</v>
      </c>
      <c r="C295" s="23">
        <f>DAY(Tabela135[[#This Row],[Vencimento]])</f>
        <v>5</v>
      </c>
      <c r="D295" s="24">
        <v>45721</v>
      </c>
      <c r="E295" s="33">
        <v>45721</v>
      </c>
      <c r="F295" s="34">
        <v>2500</v>
      </c>
      <c r="G295" s="35" t="s">
        <v>45</v>
      </c>
      <c r="H295" s="32" t="s">
        <v>11</v>
      </c>
      <c r="I295" s="32" t="s">
        <v>12</v>
      </c>
      <c r="J295" s="28" t="s">
        <v>13</v>
      </c>
      <c r="K295" s="27" t="str" cm="1">
        <f t="array" aca="1" ref="K29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96" spans="1:11" x14ac:dyDescent="0.35">
      <c r="A296" s="22">
        <f>YEAR(Tabela135[[#This Row],[Vencimento]])</f>
        <v>2025</v>
      </c>
      <c r="B296" s="23" t="str">
        <f>TEXT(D296,"mmmm")</f>
        <v>março</v>
      </c>
      <c r="C296" s="23">
        <f>DAY(Tabela135[[#This Row],[Vencimento]])</f>
        <v>20</v>
      </c>
      <c r="D296" s="24">
        <v>45736</v>
      </c>
      <c r="E296" s="33">
        <v>45736</v>
      </c>
      <c r="F296" s="34">
        <v>800</v>
      </c>
      <c r="G296" s="35" t="s">
        <v>46</v>
      </c>
      <c r="H296" s="32" t="s">
        <v>47</v>
      </c>
      <c r="I296" s="32" t="s">
        <v>12</v>
      </c>
      <c r="J296" s="28" t="s">
        <v>13</v>
      </c>
      <c r="K296" s="27" t="str" cm="1">
        <f t="array" aca="1" ref="K29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97" spans="1:11" x14ac:dyDescent="0.35">
      <c r="A297" s="22">
        <f>YEAR(Tabela135[[#This Row],[Vencimento]])</f>
        <v>2025</v>
      </c>
      <c r="B297" s="23" t="str">
        <f>TEXT(D297,"mmmm")</f>
        <v>março</v>
      </c>
      <c r="C297" s="23">
        <f>DAY(Tabela135[[#This Row],[Vencimento]])</f>
        <v>20</v>
      </c>
      <c r="D297" s="24">
        <v>45736</v>
      </c>
      <c r="E297" s="33">
        <v>45736</v>
      </c>
      <c r="F297" s="34">
        <v>1000</v>
      </c>
      <c r="G297" s="35" t="s">
        <v>48</v>
      </c>
      <c r="H297" s="32" t="s">
        <v>49</v>
      </c>
      <c r="I297" s="32" t="s">
        <v>12</v>
      </c>
      <c r="J297" s="28" t="s">
        <v>13</v>
      </c>
      <c r="K297" s="27" t="str" cm="1">
        <f t="array" aca="1" ref="K29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98" spans="1:11" x14ac:dyDescent="0.35">
      <c r="A298" s="22">
        <f>YEAR(Tabela135[[#This Row],[Vencimento]])</f>
        <v>2025</v>
      </c>
      <c r="B298" s="23" t="str">
        <f>TEXT(D298,"mmmm")</f>
        <v>março</v>
      </c>
      <c r="C298" s="23">
        <f>DAY(Tabela135[[#This Row],[Vencimento]])</f>
        <v>20</v>
      </c>
      <c r="D298" s="24">
        <v>45736</v>
      </c>
      <c r="E298" s="33">
        <v>45736</v>
      </c>
      <c r="F298" s="34">
        <v>378</v>
      </c>
      <c r="G298" s="35" t="s">
        <v>50</v>
      </c>
      <c r="H298" s="32" t="s">
        <v>42</v>
      </c>
      <c r="I298" s="32" t="s">
        <v>15</v>
      </c>
      <c r="J298" s="28" t="s">
        <v>13</v>
      </c>
      <c r="K298" s="27" t="str" cm="1">
        <f t="array" aca="1" ref="K29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299" spans="1:11" x14ac:dyDescent="0.35">
      <c r="A299" s="32">
        <f>YEAR(Tabela135[[#This Row],[Vencimento]])</f>
        <v>2025</v>
      </c>
      <c r="B299" s="28" t="str">
        <f>TEXT(D299,"mmmm")</f>
        <v>novembro</v>
      </c>
      <c r="C299" s="28">
        <f>DAY(Tabela135[[#This Row],[Vencimento]])</f>
        <v>5</v>
      </c>
      <c r="D299" s="24">
        <v>45966</v>
      </c>
      <c r="E299" s="33">
        <v>45966</v>
      </c>
      <c r="F299" s="34">
        <v>160</v>
      </c>
      <c r="G299" s="35" t="s">
        <v>21</v>
      </c>
      <c r="H299" s="32" t="s">
        <v>11</v>
      </c>
      <c r="I299" s="32" t="s">
        <v>12</v>
      </c>
      <c r="J299" s="28" t="s">
        <v>13</v>
      </c>
      <c r="K299" s="28" t="str" cm="1">
        <f t="array" aca="1" ref="K29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00" spans="1:11" x14ac:dyDescent="0.35">
      <c r="A300" s="22">
        <f>YEAR(Tabela135[[#This Row],[Vencimento]])</f>
        <v>2025</v>
      </c>
      <c r="B300" s="23" t="str">
        <f>TEXT(D300,"mmmm")</f>
        <v>novembro</v>
      </c>
      <c r="C300" s="23">
        <f>DAY(Tabela135[[#This Row],[Vencimento]])</f>
        <v>5</v>
      </c>
      <c r="D300" s="24">
        <v>45966</v>
      </c>
      <c r="E300" s="33">
        <v>45966</v>
      </c>
      <c r="F300" s="34">
        <v>350</v>
      </c>
      <c r="G300" s="35" t="s">
        <v>10</v>
      </c>
      <c r="H300" s="39" t="s">
        <v>11</v>
      </c>
      <c r="I300" s="39" t="s">
        <v>12</v>
      </c>
      <c r="J300" s="28" t="s">
        <v>13</v>
      </c>
      <c r="K300" s="28" t="str" cm="1">
        <f t="array" aca="1" ref="K30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01" spans="1:11" x14ac:dyDescent="0.35">
      <c r="A301" s="22">
        <f>YEAR(Tabela135[[#This Row],[Vencimento]])</f>
        <v>2025</v>
      </c>
      <c r="B301" s="23" t="str">
        <f>TEXT(D301,"mmmm")</f>
        <v>novembro</v>
      </c>
      <c r="C301" s="23">
        <f>DAY(Tabela135[[#This Row],[Vencimento]])</f>
        <v>20</v>
      </c>
      <c r="D301" s="24">
        <v>45981</v>
      </c>
      <c r="E301" s="33">
        <v>45983</v>
      </c>
      <c r="F301" s="34">
        <v>100</v>
      </c>
      <c r="G301" s="35" t="s">
        <v>20</v>
      </c>
      <c r="H301" s="39" t="s">
        <v>11</v>
      </c>
      <c r="I301" s="39" t="s">
        <v>12</v>
      </c>
      <c r="J301" s="28" t="s">
        <v>13</v>
      </c>
      <c r="K301" s="27" t="str" cm="1">
        <f t="array" aca="1" ref="K30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02" spans="1:11" x14ac:dyDescent="0.35">
      <c r="A302" s="22">
        <f>YEAR(Tabela135[[#This Row],[Vencimento]])</f>
        <v>2025</v>
      </c>
      <c r="B302" s="23" t="str">
        <f>TEXT(D302,"mmmm")</f>
        <v>novembro</v>
      </c>
      <c r="C302" s="23">
        <f>DAY(Tabela135[[#This Row],[Vencimento]])</f>
        <v>20</v>
      </c>
      <c r="D302" s="24">
        <v>45981</v>
      </c>
      <c r="E302" s="33">
        <v>45983</v>
      </c>
      <c r="F302" s="34">
        <v>876</v>
      </c>
      <c r="G302" s="35" t="s">
        <v>18</v>
      </c>
      <c r="H302" s="32" t="s">
        <v>42</v>
      </c>
      <c r="I302" s="32" t="s">
        <v>15</v>
      </c>
      <c r="J302" s="28" t="s">
        <v>13</v>
      </c>
      <c r="K302" s="27" t="str" cm="1">
        <f t="array" aca="1" ref="K30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03" spans="1:11" x14ac:dyDescent="0.35">
      <c r="A303" s="22">
        <f>YEAR(Tabela135[[#This Row],[Vencimento]])</f>
        <v>2025</v>
      </c>
      <c r="B303" s="23" t="str">
        <f>TEXT(D303,"mmmm")</f>
        <v>novembro</v>
      </c>
      <c r="C303" s="23">
        <f>DAY(Tabela135[[#This Row],[Vencimento]])</f>
        <v>20</v>
      </c>
      <c r="D303" s="24">
        <v>45981</v>
      </c>
      <c r="E303" s="33">
        <v>45983</v>
      </c>
      <c r="F303" s="34">
        <v>100</v>
      </c>
      <c r="G303" s="35" t="s">
        <v>43</v>
      </c>
      <c r="H303" s="32" t="s">
        <v>44</v>
      </c>
      <c r="I303" s="32" t="s">
        <v>12</v>
      </c>
      <c r="J303" s="28" t="s">
        <v>13</v>
      </c>
      <c r="K303" s="27" t="str" cm="1">
        <f t="array" aca="1" ref="K30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04" spans="1:11" x14ac:dyDescent="0.35">
      <c r="A304" s="22">
        <f>YEAR(Tabela135[[#This Row],[Vencimento]])</f>
        <v>2025</v>
      </c>
      <c r="B304" s="23" t="str">
        <f>TEXT(D304,"mmmm")</f>
        <v>novembro</v>
      </c>
      <c r="C304" s="23">
        <f>DAY(Tabela135[[#This Row],[Vencimento]])</f>
        <v>5</v>
      </c>
      <c r="D304" s="24">
        <v>45966</v>
      </c>
      <c r="E304" s="33">
        <v>45966</v>
      </c>
      <c r="F304" s="34">
        <v>2500</v>
      </c>
      <c r="G304" s="35" t="s">
        <v>45</v>
      </c>
      <c r="H304" s="32" t="s">
        <v>11</v>
      </c>
      <c r="I304" s="32" t="s">
        <v>12</v>
      </c>
      <c r="J304" s="28" t="s">
        <v>13</v>
      </c>
      <c r="K304" s="27" t="str" cm="1">
        <f t="array" aca="1" ref="K30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05" spans="1:11" x14ac:dyDescent="0.35">
      <c r="A305" s="22">
        <f>YEAR(Tabela135[[#This Row],[Vencimento]])</f>
        <v>2025</v>
      </c>
      <c r="B305" s="23" t="str">
        <f>TEXT(D305,"mmmm")</f>
        <v>novembro</v>
      </c>
      <c r="C305" s="23">
        <f>DAY(Tabela135[[#This Row],[Vencimento]])</f>
        <v>20</v>
      </c>
      <c r="D305" s="24">
        <v>45981</v>
      </c>
      <c r="E305" s="33">
        <v>45983</v>
      </c>
      <c r="F305" s="34">
        <v>800</v>
      </c>
      <c r="G305" s="35" t="s">
        <v>46</v>
      </c>
      <c r="H305" s="32" t="s">
        <v>47</v>
      </c>
      <c r="I305" s="32" t="s">
        <v>12</v>
      </c>
      <c r="J305" s="28" t="s">
        <v>13</v>
      </c>
      <c r="K305" s="27" t="str" cm="1">
        <f t="array" aca="1" ref="K30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06" spans="1:11" x14ac:dyDescent="0.35">
      <c r="A306" s="22">
        <f>YEAR(Tabela135[[#This Row],[Vencimento]])</f>
        <v>2025</v>
      </c>
      <c r="B306" s="23" t="str">
        <f>TEXT(D306,"mmmm")</f>
        <v>novembro</v>
      </c>
      <c r="C306" s="23">
        <f>DAY(Tabela135[[#This Row],[Vencimento]])</f>
        <v>20</v>
      </c>
      <c r="D306" s="24">
        <v>45981</v>
      </c>
      <c r="E306" s="33">
        <v>45983</v>
      </c>
      <c r="F306" s="34">
        <v>1000</v>
      </c>
      <c r="G306" s="35" t="s">
        <v>48</v>
      </c>
      <c r="H306" s="32" t="s">
        <v>49</v>
      </c>
      <c r="I306" s="32" t="s">
        <v>12</v>
      </c>
      <c r="J306" s="28" t="s">
        <v>13</v>
      </c>
      <c r="K306" s="27" t="str" cm="1">
        <f t="array" aca="1" ref="K30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07" spans="1:11" x14ac:dyDescent="0.35">
      <c r="A307" s="22">
        <f>YEAR(Tabela135[[#This Row],[Vencimento]])</f>
        <v>2025</v>
      </c>
      <c r="B307" s="23" t="str">
        <f>TEXT(D307,"mmmm")</f>
        <v>novembro</v>
      </c>
      <c r="C307" s="23">
        <f>DAY(Tabela135[[#This Row],[Vencimento]])</f>
        <v>20</v>
      </c>
      <c r="D307" s="24">
        <v>45981</v>
      </c>
      <c r="E307" s="33">
        <v>45983</v>
      </c>
      <c r="F307" s="34">
        <v>234</v>
      </c>
      <c r="G307" s="35" t="s">
        <v>50</v>
      </c>
      <c r="H307" s="32" t="s">
        <v>42</v>
      </c>
      <c r="I307" s="32" t="s">
        <v>15</v>
      </c>
      <c r="J307" s="28" t="s">
        <v>13</v>
      </c>
      <c r="K307" s="27" t="str" cm="1">
        <f t="array" aca="1" ref="K30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08" spans="1:11" x14ac:dyDescent="0.35">
      <c r="A308" s="32">
        <f>YEAR(Tabela135[[#This Row],[Vencimento]])</f>
        <v>2025</v>
      </c>
      <c r="B308" s="28" t="str">
        <f>TEXT(D308,"mmmm")</f>
        <v>outubro</v>
      </c>
      <c r="C308" s="28">
        <f>DAY(Tabela135[[#This Row],[Vencimento]])</f>
        <v>5</v>
      </c>
      <c r="D308" s="24">
        <v>45935</v>
      </c>
      <c r="E308" s="33">
        <v>45935</v>
      </c>
      <c r="F308" s="34">
        <v>160</v>
      </c>
      <c r="G308" s="35" t="s">
        <v>21</v>
      </c>
      <c r="H308" s="32" t="s">
        <v>11</v>
      </c>
      <c r="I308" s="32" t="s">
        <v>12</v>
      </c>
      <c r="J308" s="28" t="s">
        <v>13</v>
      </c>
      <c r="K308" s="28" t="str" cm="1">
        <f t="array" aca="1" ref="K30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09" spans="1:11" x14ac:dyDescent="0.35">
      <c r="A309" s="22">
        <f>YEAR(Tabela135[[#This Row],[Vencimento]])</f>
        <v>2025</v>
      </c>
      <c r="B309" s="23" t="str">
        <f>TEXT(D309,"mmmm")</f>
        <v>outubro</v>
      </c>
      <c r="C309" s="23">
        <f>DAY(Tabela135[[#This Row],[Vencimento]])</f>
        <v>5</v>
      </c>
      <c r="D309" s="24">
        <v>45935</v>
      </c>
      <c r="E309" s="33">
        <v>45935</v>
      </c>
      <c r="F309" s="34">
        <v>350</v>
      </c>
      <c r="G309" s="35" t="s">
        <v>10</v>
      </c>
      <c r="H309" s="39" t="s">
        <v>11</v>
      </c>
      <c r="I309" s="39" t="s">
        <v>12</v>
      </c>
      <c r="J309" s="28" t="s">
        <v>13</v>
      </c>
      <c r="K309" s="28" t="str" cm="1">
        <f t="array" aca="1" ref="K30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10" spans="1:11" x14ac:dyDescent="0.35">
      <c r="A310" s="22">
        <f>YEAR(Tabela135[[#This Row],[Vencimento]])</f>
        <v>2025</v>
      </c>
      <c r="B310" s="23" t="str">
        <f>TEXT(D310,"mmmm")</f>
        <v>outubro</v>
      </c>
      <c r="C310" s="23">
        <f>DAY(Tabela135[[#This Row],[Vencimento]])</f>
        <v>20</v>
      </c>
      <c r="D310" s="24">
        <v>45950</v>
      </c>
      <c r="E310" s="33">
        <v>45950</v>
      </c>
      <c r="F310" s="34">
        <v>100</v>
      </c>
      <c r="G310" s="35" t="s">
        <v>20</v>
      </c>
      <c r="H310" s="39" t="s">
        <v>11</v>
      </c>
      <c r="I310" s="39" t="s">
        <v>12</v>
      </c>
      <c r="J310" s="28" t="s">
        <v>13</v>
      </c>
      <c r="K310" s="27" t="str" cm="1">
        <f t="array" aca="1" ref="K31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11" spans="1:11" x14ac:dyDescent="0.35">
      <c r="A311" s="22">
        <f>YEAR(Tabela135[[#This Row],[Vencimento]])</f>
        <v>2025</v>
      </c>
      <c r="B311" s="23" t="str">
        <f>TEXT(D311,"mmmm")</f>
        <v>outubro</v>
      </c>
      <c r="C311" s="23">
        <f>DAY(Tabela135[[#This Row],[Vencimento]])</f>
        <v>20</v>
      </c>
      <c r="D311" s="24">
        <v>45950</v>
      </c>
      <c r="E311" s="33">
        <v>45950</v>
      </c>
      <c r="F311" s="34">
        <v>367</v>
      </c>
      <c r="G311" s="35" t="s">
        <v>18</v>
      </c>
      <c r="H311" s="32" t="s">
        <v>42</v>
      </c>
      <c r="I311" s="32" t="s">
        <v>15</v>
      </c>
      <c r="J311" s="28" t="s">
        <v>13</v>
      </c>
      <c r="K311" s="27" t="str" cm="1">
        <f t="array" aca="1" ref="K31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12" spans="1:11" x14ac:dyDescent="0.35">
      <c r="A312" s="22">
        <f>YEAR(Tabela135[[#This Row],[Vencimento]])</f>
        <v>2025</v>
      </c>
      <c r="B312" s="23" t="str">
        <f>TEXT(D312,"mmmm")</f>
        <v>outubro</v>
      </c>
      <c r="C312" s="23">
        <f>DAY(Tabela135[[#This Row],[Vencimento]])</f>
        <v>20</v>
      </c>
      <c r="D312" s="24">
        <v>45950</v>
      </c>
      <c r="E312" s="33">
        <v>45949</v>
      </c>
      <c r="F312" s="34">
        <v>100</v>
      </c>
      <c r="G312" s="35" t="s">
        <v>43</v>
      </c>
      <c r="H312" s="32" t="s">
        <v>44</v>
      </c>
      <c r="I312" s="32" t="s">
        <v>12</v>
      </c>
      <c r="J312" s="28" t="s">
        <v>13</v>
      </c>
      <c r="K312" s="27" t="str" cm="1">
        <f t="array" aca="1" ref="K31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13" spans="1:11" x14ac:dyDescent="0.35">
      <c r="A313" s="22">
        <f>YEAR(Tabela135[[#This Row],[Vencimento]])</f>
        <v>2025</v>
      </c>
      <c r="B313" s="23" t="str">
        <f>TEXT(D313,"mmmm")</f>
        <v>outubro</v>
      </c>
      <c r="C313" s="23">
        <f>DAY(Tabela135[[#This Row],[Vencimento]])</f>
        <v>5</v>
      </c>
      <c r="D313" s="24">
        <v>45935</v>
      </c>
      <c r="E313" s="33">
        <v>45935</v>
      </c>
      <c r="F313" s="34">
        <v>2500</v>
      </c>
      <c r="G313" s="35" t="s">
        <v>45</v>
      </c>
      <c r="H313" s="32" t="s">
        <v>11</v>
      </c>
      <c r="I313" s="32" t="s">
        <v>12</v>
      </c>
      <c r="J313" s="28" t="s">
        <v>13</v>
      </c>
      <c r="K313" s="27" t="str" cm="1">
        <f t="array" aca="1" ref="K31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14" spans="1:11" x14ac:dyDescent="0.35">
      <c r="A314" s="22">
        <f>YEAR(Tabela135[[#This Row],[Vencimento]])</f>
        <v>2025</v>
      </c>
      <c r="B314" s="23" t="str">
        <f>TEXT(D314,"mmmm")</f>
        <v>outubro</v>
      </c>
      <c r="C314" s="23">
        <f>DAY(Tabela135[[#This Row],[Vencimento]])</f>
        <v>20</v>
      </c>
      <c r="D314" s="24">
        <v>45950</v>
      </c>
      <c r="E314" s="33">
        <v>45949</v>
      </c>
      <c r="F314" s="34">
        <v>800</v>
      </c>
      <c r="G314" s="35" t="s">
        <v>46</v>
      </c>
      <c r="H314" s="32" t="s">
        <v>47</v>
      </c>
      <c r="I314" s="32" t="s">
        <v>12</v>
      </c>
      <c r="J314" s="28" t="s">
        <v>13</v>
      </c>
      <c r="K314" s="27" t="str" cm="1">
        <f t="array" aca="1" ref="K31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15" spans="1:11" x14ac:dyDescent="0.35">
      <c r="A315" s="22">
        <f>YEAR(Tabela135[[#This Row],[Vencimento]])</f>
        <v>2025</v>
      </c>
      <c r="B315" s="23" t="str">
        <f>TEXT(D315,"mmmm")</f>
        <v>outubro</v>
      </c>
      <c r="C315" s="23">
        <f>DAY(Tabela135[[#This Row],[Vencimento]])</f>
        <v>20</v>
      </c>
      <c r="D315" s="24">
        <v>45950</v>
      </c>
      <c r="E315" s="33">
        <v>45949</v>
      </c>
      <c r="F315" s="34">
        <v>1000</v>
      </c>
      <c r="G315" s="35" t="s">
        <v>48</v>
      </c>
      <c r="H315" s="32" t="s">
        <v>49</v>
      </c>
      <c r="I315" s="32" t="s">
        <v>12</v>
      </c>
      <c r="J315" s="28" t="s">
        <v>13</v>
      </c>
      <c r="K315" s="27" t="str" cm="1">
        <f t="array" aca="1" ref="K31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16" spans="1:11" x14ac:dyDescent="0.35">
      <c r="A316" s="22">
        <f>YEAR(Tabela135[[#This Row],[Vencimento]])</f>
        <v>2025</v>
      </c>
      <c r="B316" s="23" t="str">
        <f>TEXT(D316,"mmmm")</f>
        <v>outubro</v>
      </c>
      <c r="C316" s="23">
        <f>DAY(Tabela135[[#This Row],[Vencimento]])</f>
        <v>20</v>
      </c>
      <c r="D316" s="24">
        <v>45950</v>
      </c>
      <c r="E316" s="33">
        <v>45950</v>
      </c>
      <c r="F316" s="34">
        <v>222</v>
      </c>
      <c r="G316" s="35" t="s">
        <v>50</v>
      </c>
      <c r="H316" s="32" t="s">
        <v>42</v>
      </c>
      <c r="I316" s="32" t="s">
        <v>15</v>
      </c>
      <c r="J316" s="28" t="s">
        <v>13</v>
      </c>
      <c r="K316" s="27" t="str" cm="1">
        <f t="array" aca="1" ref="K31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17" spans="1:11" x14ac:dyDescent="0.35">
      <c r="A317" s="32">
        <f>YEAR(Tabela135[[#This Row],[Vencimento]])</f>
        <v>2025</v>
      </c>
      <c r="B317" s="28" t="str">
        <f>TEXT(D317,"mmmm")</f>
        <v>setembro</v>
      </c>
      <c r="C317" s="28">
        <f>DAY(Tabela135[[#This Row],[Vencimento]])</f>
        <v>5</v>
      </c>
      <c r="D317" s="24">
        <v>45905</v>
      </c>
      <c r="E317" s="33">
        <v>45906</v>
      </c>
      <c r="F317" s="34">
        <v>160</v>
      </c>
      <c r="G317" s="35" t="s">
        <v>21</v>
      </c>
      <c r="H317" s="32" t="s">
        <v>11</v>
      </c>
      <c r="I317" s="32" t="s">
        <v>12</v>
      </c>
      <c r="J317" s="28" t="s">
        <v>13</v>
      </c>
      <c r="K317" s="28" t="str" cm="1">
        <f t="array" aca="1" ref="K31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18" spans="1:11" x14ac:dyDescent="0.35">
      <c r="A318" s="22">
        <f>YEAR(Tabela135[[#This Row],[Vencimento]])</f>
        <v>2025</v>
      </c>
      <c r="B318" s="23" t="str">
        <f>TEXT(D318,"mmmm")</f>
        <v>setembro</v>
      </c>
      <c r="C318" s="23">
        <f>DAY(Tabela135[[#This Row],[Vencimento]])</f>
        <v>5</v>
      </c>
      <c r="D318" s="24">
        <v>45905</v>
      </c>
      <c r="E318" s="33">
        <v>45906</v>
      </c>
      <c r="F318" s="34">
        <v>350</v>
      </c>
      <c r="G318" s="35" t="s">
        <v>10</v>
      </c>
      <c r="H318" s="39" t="s">
        <v>11</v>
      </c>
      <c r="I318" s="39" t="s">
        <v>12</v>
      </c>
      <c r="J318" s="28" t="s">
        <v>13</v>
      </c>
      <c r="K318" s="28" t="str" cm="1">
        <f t="array" aca="1" ref="K31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19" spans="1:11" x14ac:dyDescent="0.35">
      <c r="A319" s="22">
        <f>YEAR(Tabela135[[#This Row],[Vencimento]])</f>
        <v>2025</v>
      </c>
      <c r="B319" s="23" t="str">
        <f>TEXT(D319,"mmmm")</f>
        <v>setembro</v>
      </c>
      <c r="C319" s="23">
        <f>DAY(Tabela135[[#This Row],[Vencimento]])</f>
        <v>20</v>
      </c>
      <c r="D319" s="24">
        <v>45920</v>
      </c>
      <c r="E319" s="33">
        <v>45920</v>
      </c>
      <c r="F319" s="34">
        <v>100</v>
      </c>
      <c r="G319" s="35" t="s">
        <v>20</v>
      </c>
      <c r="H319" s="39" t="s">
        <v>11</v>
      </c>
      <c r="I319" s="39" t="s">
        <v>12</v>
      </c>
      <c r="J319" s="28" t="s">
        <v>13</v>
      </c>
      <c r="K319" s="27" t="str" cm="1">
        <f t="array" aca="1" ref="K31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20" spans="1:11" x14ac:dyDescent="0.35">
      <c r="A320" s="22">
        <f>YEAR(Tabela135[[#This Row],[Vencimento]])</f>
        <v>2025</v>
      </c>
      <c r="B320" s="23" t="str">
        <f>TEXT(D320,"mmmm")</f>
        <v>setembro</v>
      </c>
      <c r="C320" s="23">
        <f>DAY(Tabela135[[#This Row],[Vencimento]])</f>
        <v>20</v>
      </c>
      <c r="D320" s="24">
        <v>45920</v>
      </c>
      <c r="E320" s="33">
        <v>45920</v>
      </c>
      <c r="F320" s="34">
        <v>378</v>
      </c>
      <c r="G320" s="35" t="s">
        <v>18</v>
      </c>
      <c r="H320" s="32" t="s">
        <v>42</v>
      </c>
      <c r="I320" s="32" t="s">
        <v>15</v>
      </c>
      <c r="J320" s="28" t="s">
        <v>13</v>
      </c>
      <c r="K320" s="27" t="str" cm="1">
        <f t="array" aca="1" ref="K32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21" spans="1:11" x14ac:dyDescent="0.35">
      <c r="A321" s="22">
        <f>YEAR(Tabela135[[#This Row],[Vencimento]])</f>
        <v>2025</v>
      </c>
      <c r="B321" s="23" t="str">
        <f>TEXT(D321,"mmmm")</f>
        <v>setembro</v>
      </c>
      <c r="C321" s="23">
        <f>DAY(Tabela135[[#This Row],[Vencimento]])</f>
        <v>20</v>
      </c>
      <c r="D321" s="24">
        <v>45920</v>
      </c>
      <c r="E321" s="33">
        <v>45920</v>
      </c>
      <c r="F321" s="34">
        <v>100</v>
      </c>
      <c r="G321" s="35" t="s">
        <v>43</v>
      </c>
      <c r="H321" s="32" t="s">
        <v>44</v>
      </c>
      <c r="I321" s="32" t="s">
        <v>12</v>
      </c>
      <c r="J321" s="28" t="s">
        <v>13</v>
      </c>
      <c r="K321" s="27" t="str" cm="1">
        <f t="array" aca="1" ref="K32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22" spans="1:11" x14ac:dyDescent="0.35">
      <c r="A322" s="22">
        <f>YEAR(Tabela135[[#This Row],[Vencimento]])</f>
        <v>2025</v>
      </c>
      <c r="B322" s="23" t="str">
        <f>TEXT(D322,"mmmm")</f>
        <v>setembro</v>
      </c>
      <c r="C322" s="23">
        <f>DAY(Tabela135[[#This Row],[Vencimento]])</f>
        <v>5</v>
      </c>
      <c r="D322" s="24">
        <v>45905</v>
      </c>
      <c r="E322" s="33">
        <v>45906</v>
      </c>
      <c r="F322" s="34">
        <v>2500</v>
      </c>
      <c r="G322" s="35" t="s">
        <v>45</v>
      </c>
      <c r="H322" s="32" t="s">
        <v>11</v>
      </c>
      <c r="I322" s="32" t="s">
        <v>12</v>
      </c>
      <c r="J322" s="28" t="s">
        <v>13</v>
      </c>
      <c r="K322" s="27" t="str" cm="1">
        <f t="array" aca="1" ref="K32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23" spans="1:11" x14ac:dyDescent="0.35">
      <c r="A323" s="22">
        <f>YEAR(Tabela135[[#This Row],[Vencimento]])</f>
        <v>2025</v>
      </c>
      <c r="B323" s="23" t="str">
        <f>TEXT(D323,"mmmm")</f>
        <v>setembro</v>
      </c>
      <c r="C323" s="23">
        <f>DAY(Tabela135[[#This Row],[Vencimento]])</f>
        <v>20</v>
      </c>
      <c r="D323" s="24">
        <v>45920</v>
      </c>
      <c r="E323" s="33">
        <v>45920</v>
      </c>
      <c r="F323" s="34">
        <v>800</v>
      </c>
      <c r="G323" s="35" t="s">
        <v>46</v>
      </c>
      <c r="H323" s="32" t="s">
        <v>47</v>
      </c>
      <c r="I323" s="32" t="s">
        <v>12</v>
      </c>
      <c r="J323" s="28" t="s">
        <v>13</v>
      </c>
      <c r="K323" s="27" t="str" cm="1">
        <f t="array" aca="1" ref="K32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24" spans="1:11" x14ac:dyDescent="0.35">
      <c r="A324" s="22">
        <f>YEAR(Tabela135[[#This Row],[Vencimento]])</f>
        <v>2025</v>
      </c>
      <c r="B324" s="23" t="str">
        <f>TEXT(D324,"mmmm")</f>
        <v>setembro</v>
      </c>
      <c r="C324" s="23">
        <f>DAY(Tabela135[[#This Row],[Vencimento]])</f>
        <v>20</v>
      </c>
      <c r="D324" s="24">
        <v>45920</v>
      </c>
      <c r="E324" s="33">
        <v>45920</v>
      </c>
      <c r="F324" s="34">
        <v>1000</v>
      </c>
      <c r="G324" s="35" t="s">
        <v>48</v>
      </c>
      <c r="H324" s="32" t="s">
        <v>49</v>
      </c>
      <c r="I324" s="32" t="s">
        <v>12</v>
      </c>
      <c r="J324" s="28" t="s">
        <v>13</v>
      </c>
      <c r="K324" s="27" t="str" cm="1">
        <f t="array" aca="1" ref="K32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25" spans="1:11" x14ac:dyDescent="0.35">
      <c r="A325" s="22">
        <f>YEAR(Tabela135[[#This Row],[Vencimento]])</f>
        <v>2025</v>
      </c>
      <c r="B325" s="23" t="str">
        <f>TEXT(D325,"mmmm")</f>
        <v>setembro</v>
      </c>
      <c r="C325" s="23">
        <f>DAY(Tabela135[[#This Row],[Vencimento]])</f>
        <v>20</v>
      </c>
      <c r="D325" s="24">
        <v>45920</v>
      </c>
      <c r="E325" s="33">
        <v>45920</v>
      </c>
      <c r="F325" s="34">
        <v>442</v>
      </c>
      <c r="G325" s="35" t="s">
        <v>50</v>
      </c>
      <c r="H325" s="32" t="s">
        <v>42</v>
      </c>
      <c r="I325" s="32" t="s">
        <v>15</v>
      </c>
      <c r="J325" s="28" t="s">
        <v>13</v>
      </c>
      <c r="K325" s="27" t="str" cm="1">
        <f t="array" aca="1" ref="K32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26" spans="1:11" x14ac:dyDescent="0.35">
      <c r="A326" s="26">
        <f>YEAR(Tabela135[[#This Row],[Vencimento]])</f>
        <v>2026</v>
      </c>
      <c r="B326" s="27" t="str">
        <f>TEXT(D326,"mmmm")</f>
        <v>abril</v>
      </c>
      <c r="C326" s="27">
        <f>DAY(Tabela135[[#This Row],[Vencimento]])</f>
        <v>6</v>
      </c>
      <c r="D326" s="24">
        <v>46118</v>
      </c>
      <c r="E326" s="33">
        <v>46118</v>
      </c>
      <c r="F326" s="34">
        <v>160</v>
      </c>
      <c r="G326" s="35" t="s">
        <v>21</v>
      </c>
      <c r="H326" s="39" t="s">
        <v>11</v>
      </c>
      <c r="I326" s="39" t="s">
        <v>12</v>
      </c>
      <c r="J326" s="28" t="s">
        <v>13</v>
      </c>
      <c r="K326" s="28" t="str" cm="1">
        <f t="array" aca="1" ref="K32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27" spans="1:11" x14ac:dyDescent="0.35">
      <c r="A327" s="22">
        <f>YEAR(Tabela135[[#This Row],[Vencimento]])</f>
        <v>2026</v>
      </c>
      <c r="B327" s="23" t="str">
        <f>TEXT(D327,"mmmm")</f>
        <v>abril</v>
      </c>
      <c r="C327" s="23">
        <f>DAY(Tabela135[[#This Row],[Vencimento]])</f>
        <v>6</v>
      </c>
      <c r="D327" s="24">
        <v>46118</v>
      </c>
      <c r="E327" s="33">
        <v>46118</v>
      </c>
      <c r="F327" s="34">
        <v>350</v>
      </c>
      <c r="G327" s="35" t="s">
        <v>10</v>
      </c>
      <c r="H327" s="39" t="s">
        <v>11</v>
      </c>
      <c r="I327" s="39" t="s">
        <v>12</v>
      </c>
      <c r="J327" s="28" t="s">
        <v>13</v>
      </c>
      <c r="K327" s="28" t="str" cm="1">
        <f t="array" aca="1" ref="K32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28" spans="1:11" x14ac:dyDescent="0.35">
      <c r="A328" s="22">
        <f>YEAR(Tabela135[[#This Row],[Vencimento]])</f>
        <v>2026</v>
      </c>
      <c r="B328" s="23" t="str">
        <f>TEXT(D328,"mmmm")</f>
        <v>abril</v>
      </c>
      <c r="C328" s="23">
        <f>DAY(Tabela135[[#This Row],[Vencimento]])</f>
        <v>20</v>
      </c>
      <c r="D328" s="24">
        <v>46132</v>
      </c>
      <c r="E328" s="33">
        <v>46132</v>
      </c>
      <c r="F328" s="34">
        <v>100</v>
      </c>
      <c r="G328" s="35" t="s">
        <v>20</v>
      </c>
      <c r="H328" s="39" t="s">
        <v>11</v>
      </c>
      <c r="I328" s="39" t="s">
        <v>12</v>
      </c>
      <c r="J328" s="28" t="s">
        <v>13</v>
      </c>
      <c r="K328" s="27" t="str" cm="1">
        <f t="array" aca="1" ref="K32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29" spans="1:11" x14ac:dyDescent="0.35">
      <c r="A329" s="22">
        <f>YEAR(Tabela135[[#This Row],[Vencimento]])</f>
        <v>2026</v>
      </c>
      <c r="B329" s="23" t="str">
        <f>TEXT(D329,"mmmm")</f>
        <v>abril</v>
      </c>
      <c r="C329" s="23">
        <f>DAY(Tabela135[[#This Row],[Vencimento]])</f>
        <v>20</v>
      </c>
      <c r="D329" s="24">
        <v>46132</v>
      </c>
      <c r="E329" s="33">
        <v>46132</v>
      </c>
      <c r="F329" s="34">
        <v>837</v>
      </c>
      <c r="G329" s="35" t="s">
        <v>18</v>
      </c>
      <c r="H329" s="32" t="s">
        <v>42</v>
      </c>
      <c r="I329" s="32" t="s">
        <v>15</v>
      </c>
      <c r="J329" s="28" t="s">
        <v>13</v>
      </c>
      <c r="K329" s="27" t="str" cm="1">
        <f t="array" aca="1" ref="K32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30" spans="1:11" x14ac:dyDescent="0.35">
      <c r="A330" s="22">
        <f>YEAR(Tabela135[[#This Row],[Vencimento]])</f>
        <v>2026</v>
      </c>
      <c r="B330" s="23" t="str">
        <f>TEXT(D330,"mmmm")</f>
        <v>abril</v>
      </c>
      <c r="C330" s="23">
        <f>DAY(Tabela135[[#This Row],[Vencimento]])</f>
        <v>20</v>
      </c>
      <c r="D330" s="24">
        <v>46132</v>
      </c>
      <c r="E330" s="33">
        <v>46132</v>
      </c>
      <c r="F330" s="34">
        <v>100</v>
      </c>
      <c r="G330" s="35" t="s">
        <v>43</v>
      </c>
      <c r="H330" s="32" t="s">
        <v>44</v>
      </c>
      <c r="I330" s="32" t="s">
        <v>12</v>
      </c>
      <c r="J330" s="28" t="s">
        <v>13</v>
      </c>
      <c r="K330" s="27" t="str" cm="1">
        <f t="array" aca="1" ref="K33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31" spans="1:11" x14ac:dyDescent="0.35">
      <c r="A331" s="22">
        <f>YEAR(Tabela135[[#This Row],[Vencimento]])</f>
        <v>2026</v>
      </c>
      <c r="B331" s="23" t="str">
        <f>TEXT(D331,"mmmm")</f>
        <v>abril</v>
      </c>
      <c r="C331" s="23">
        <f>DAY(Tabela135[[#This Row],[Vencimento]])</f>
        <v>6</v>
      </c>
      <c r="D331" s="24">
        <v>46118</v>
      </c>
      <c r="E331" s="33">
        <v>46118</v>
      </c>
      <c r="F331" s="34">
        <v>2500</v>
      </c>
      <c r="G331" s="35" t="s">
        <v>45</v>
      </c>
      <c r="H331" s="32" t="s">
        <v>11</v>
      </c>
      <c r="I331" s="32" t="s">
        <v>12</v>
      </c>
      <c r="J331" s="28" t="s">
        <v>13</v>
      </c>
      <c r="K331" s="27" t="str" cm="1">
        <f t="array" aca="1" ref="K33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32" spans="1:11" x14ac:dyDescent="0.35">
      <c r="A332" s="22">
        <f>YEAR(Tabela135[[#This Row],[Vencimento]])</f>
        <v>2026</v>
      </c>
      <c r="B332" s="23" t="str">
        <f>TEXT(D332,"mmmm")</f>
        <v>abril</v>
      </c>
      <c r="C332" s="23">
        <f>DAY(Tabela135[[#This Row],[Vencimento]])</f>
        <v>20</v>
      </c>
      <c r="D332" s="24">
        <v>46132</v>
      </c>
      <c r="E332" s="33">
        <v>46132</v>
      </c>
      <c r="F332" s="34">
        <v>800</v>
      </c>
      <c r="G332" s="35" t="s">
        <v>46</v>
      </c>
      <c r="H332" s="32" t="s">
        <v>47</v>
      </c>
      <c r="I332" s="32" t="s">
        <v>12</v>
      </c>
      <c r="J332" s="28" t="s">
        <v>13</v>
      </c>
      <c r="K332" s="27" t="str" cm="1">
        <f t="array" aca="1" ref="K33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33" spans="1:11" x14ac:dyDescent="0.35">
      <c r="A333" s="22">
        <f>YEAR(Tabela135[[#This Row],[Vencimento]])</f>
        <v>2026</v>
      </c>
      <c r="B333" s="23" t="str">
        <f>TEXT(D333,"mmmm")</f>
        <v>abril</v>
      </c>
      <c r="C333" s="23">
        <f>DAY(Tabela135[[#This Row],[Vencimento]])</f>
        <v>20</v>
      </c>
      <c r="D333" s="24">
        <v>46132</v>
      </c>
      <c r="E333" s="33">
        <v>46132</v>
      </c>
      <c r="F333" s="34">
        <v>1000</v>
      </c>
      <c r="G333" s="35" t="s">
        <v>48</v>
      </c>
      <c r="H333" s="32" t="s">
        <v>49</v>
      </c>
      <c r="I333" s="32" t="s">
        <v>12</v>
      </c>
      <c r="J333" s="28" t="s">
        <v>13</v>
      </c>
      <c r="K333" s="27" t="str" cm="1">
        <f t="array" aca="1" ref="K33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34" spans="1:11" x14ac:dyDescent="0.35">
      <c r="A334" s="22">
        <f>YEAR(Tabela135[[#This Row],[Vencimento]])</f>
        <v>2026</v>
      </c>
      <c r="B334" s="23" t="str">
        <f>TEXT(D334,"mmmm")</f>
        <v>abril</v>
      </c>
      <c r="C334" s="23">
        <f>DAY(Tabela135[[#This Row],[Vencimento]])</f>
        <v>20</v>
      </c>
      <c r="D334" s="24">
        <v>46132</v>
      </c>
      <c r="E334" s="33">
        <v>46132</v>
      </c>
      <c r="F334" s="34">
        <v>123</v>
      </c>
      <c r="G334" s="35" t="s">
        <v>50</v>
      </c>
      <c r="H334" s="32" t="s">
        <v>42</v>
      </c>
      <c r="I334" s="32" t="s">
        <v>15</v>
      </c>
      <c r="J334" s="28" t="s">
        <v>13</v>
      </c>
      <c r="K334" s="27" t="str" cm="1">
        <f t="array" aca="1" ref="K33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35" spans="1:11" x14ac:dyDescent="0.35">
      <c r="A335" s="22">
        <f>YEAR(Tabela135[[#This Row],[Vencimento]])</f>
        <v>2026</v>
      </c>
      <c r="B335" s="23" t="str">
        <f>TEXT(D335,"mmmm")</f>
        <v>abril</v>
      </c>
      <c r="C335" s="23">
        <f>DAY(Tabela135[[#This Row],[Vencimento]])</f>
        <v>20</v>
      </c>
      <c r="D335" s="24">
        <v>46132</v>
      </c>
      <c r="E335" s="33">
        <v>46132</v>
      </c>
      <c r="F335" s="34">
        <v>104</v>
      </c>
      <c r="G335" s="35" t="s">
        <v>51</v>
      </c>
      <c r="H335" s="32" t="s">
        <v>52</v>
      </c>
      <c r="I335" s="32" t="s">
        <v>15</v>
      </c>
      <c r="J335" s="28" t="s">
        <v>13</v>
      </c>
      <c r="K335" s="27" t="str" cm="1">
        <f t="array" aca="1" ref="K33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36" spans="1:11" x14ac:dyDescent="0.35">
      <c r="A336" s="26">
        <f>YEAR(Tabela135[[#This Row],[Vencimento]])</f>
        <v>2026</v>
      </c>
      <c r="B336" s="27" t="str">
        <f>TEXT(D336,"mmmm")</f>
        <v>agosto</v>
      </c>
      <c r="C336" s="27">
        <f>DAY(Tabela135[[#This Row],[Vencimento]])</f>
        <v>6</v>
      </c>
      <c r="D336" s="24">
        <v>46240</v>
      </c>
      <c r="E336" s="33"/>
      <c r="F336" s="34">
        <v>160</v>
      </c>
      <c r="G336" s="35" t="s">
        <v>21</v>
      </c>
      <c r="H336" s="39" t="s">
        <v>11</v>
      </c>
      <c r="I336" s="39" t="s">
        <v>12</v>
      </c>
      <c r="J336" s="28" t="s">
        <v>23</v>
      </c>
      <c r="K336" s="28" t="str" cm="1">
        <f t="array" aca="1" ref="K33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37" spans="1:11" x14ac:dyDescent="0.35">
      <c r="A337" s="42">
        <f>YEAR(Tabela135[[#This Row],[Vencimento]])</f>
        <v>2026</v>
      </c>
      <c r="B337" s="25" t="str">
        <f>TEXT(D337,"mmmm")</f>
        <v>agosto</v>
      </c>
      <c r="C337" s="25">
        <f>DAY(Tabela135[[#This Row],[Vencimento]])</f>
        <v>6</v>
      </c>
      <c r="D337" s="40">
        <v>46240</v>
      </c>
      <c r="E337" s="36"/>
      <c r="F337" s="34">
        <v>350</v>
      </c>
      <c r="G337" s="35" t="s">
        <v>10</v>
      </c>
      <c r="H337" s="39" t="s">
        <v>11</v>
      </c>
      <c r="I337" s="41" t="s">
        <v>12</v>
      </c>
      <c r="J337" s="31" t="s">
        <v>23</v>
      </c>
      <c r="K337" s="31" t="str" cm="1">
        <f t="array" aca="1" ref="K33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38" spans="1:11" x14ac:dyDescent="0.35">
      <c r="A338" s="22">
        <f>YEAR(Tabela135[[#This Row],[Vencimento]])</f>
        <v>2026</v>
      </c>
      <c r="B338" s="23" t="str">
        <f>TEXT(D338,"mmmm")</f>
        <v>agosto</v>
      </c>
      <c r="C338" s="23">
        <f>DAY(Tabela135[[#This Row],[Vencimento]])</f>
        <v>20</v>
      </c>
      <c r="D338" s="24">
        <v>46254</v>
      </c>
      <c r="E338" s="33"/>
      <c r="F338" s="34">
        <v>100</v>
      </c>
      <c r="G338" s="35" t="s">
        <v>20</v>
      </c>
      <c r="H338" s="39" t="s">
        <v>11</v>
      </c>
      <c r="I338" s="39" t="s">
        <v>12</v>
      </c>
      <c r="J338" s="28" t="s">
        <v>23</v>
      </c>
      <c r="K338" s="27" t="str" cm="1">
        <f t="array" aca="1" ref="K33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39" spans="1:11" x14ac:dyDescent="0.35">
      <c r="A339" s="22">
        <f>YEAR(Tabela135[[#This Row],[Vencimento]])</f>
        <v>2026</v>
      </c>
      <c r="B339" s="23" t="str">
        <f>TEXT(D339,"mmmm")</f>
        <v>agosto</v>
      </c>
      <c r="C339" s="23">
        <f>DAY(Tabela135[[#This Row],[Vencimento]])</f>
        <v>20</v>
      </c>
      <c r="D339" s="24">
        <v>46254</v>
      </c>
      <c r="E339" s="33"/>
      <c r="F339" s="34">
        <v>67</v>
      </c>
      <c r="G339" s="35" t="s">
        <v>18</v>
      </c>
      <c r="H339" s="32" t="s">
        <v>42</v>
      </c>
      <c r="I339" s="32" t="s">
        <v>15</v>
      </c>
      <c r="J339" s="28" t="s">
        <v>23</v>
      </c>
      <c r="K339" s="27" t="str" cm="1">
        <f t="array" aca="1" ref="K33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40" spans="1:11" x14ac:dyDescent="0.35">
      <c r="A340" s="22">
        <f>YEAR(Tabela135[[#This Row],[Vencimento]])</f>
        <v>2026</v>
      </c>
      <c r="B340" s="23" t="str">
        <f>TEXT(D340,"mmmm")</f>
        <v>agosto</v>
      </c>
      <c r="C340" s="23">
        <f>DAY(Tabela135[[#This Row],[Vencimento]])</f>
        <v>20</v>
      </c>
      <c r="D340" s="24">
        <v>46254</v>
      </c>
      <c r="E340" s="33"/>
      <c r="F340" s="34">
        <v>100</v>
      </c>
      <c r="G340" s="35" t="s">
        <v>43</v>
      </c>
      <c r="H340" s="32" t="s">
        <v>44</v>
      </c>
      <c r="I340" s="32" t="s">
        <v>12</v>
      </c>
      <c r="J340" s="28" t="s">
        <v>23</v>
      </c>
      <c r="K340" s="27" t="str" cm="1">
        <f t="array" aca="1" ref="K34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41" spans="1:11" x14ac:dyDescent="0.35">
      <c r="A341" s="22">
        <f>YEAR(Tabela135[[#This Row],[Vencimento]])</f>
        <v>2026</v>
      </c>
      <c r="B341" s="23" t="str">
        <f>TEXT(D341,"mmmm")</f>
        <v>agosto</v>
      </c>
      <c r="C341" s="23">
        <f>DAY(Tabela135[[#This Row],[Vencimento]])</f>
        <v>6</v>
      </c>
      <c r="D341" s="24">
        <v>46240</v>
      </c>
      <c r="E341" s="33"/>
      <c r="F341" s="34">
        <v>2500</v>
      </c>
      <c r="G341" s="35" t="s">
        <v>45</v>
      </c>
      <c r="H341" s="32" t="s">
        <v>11</v>
      </c>
      <c r="I341" s="32" t="s">
        <v>12</v>
      </c>
      <c r="J341" s="28" t="s">
        <v>23</v>
      </c>
      <c r="K341" s="27" t="str" cm="1">
        <f t="array" aca="1" ref="K34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42" spans="1:11" x14ac:dyDescent="0.35">
      <c r="A342" s="22">
        <f>YEAR(Tabela135[[#This Row],[Vencimento]])</f>
        <v>2026</v>
      </c>
      <c r="B342" s="23" t="str">
        <f>TEXT(D342,"mmmm")</f>
        <v>agosto</v>
      </c>
      <c r="C342" s="23">
        <f>DAY(Tabela135[[#This Row],[Vencimento]])</f>
        <v>20</v>
      </c>
      <c r="D342" s="24">
        <v>46254</v>
      </c>
      <c r="E342" s="33"/>
      <c r="F342" s="34">
        <v>800</v>
      </c>
      <c r="G342" s="35" t="s">
        <v>46</v>
      </c>
      <c r="H342" s="32" t="s">
        <v>47</v>
      </c>
      <c r="I342" s="32" t="s">
        <v>12</v>
      </c>
      <c r="J342" s="28" t="s">
        <v>23</v>
      </c>
      <c r="K342" s="27" t="str" cm="1">
        <f t="array" aca="1" ref="K34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43" spans="1:11" x14ac:dyDescent="0.35">
      <c r="A343" s="22">
        <f>YEAR(Tabela135[[#This Row],[Vencimento]])</f>
        <v>2026</v>
      </c>
      <c r="B343" s="23" t="str">
        <f>TEXT(D343,"mmmm")</f>
        <v>agosto</v>
      </c>
      <c r="C343" s="23">
        <f>DAY(Tabela135[[#This Row],[Vencimento]])</f>
        <v>20</v>
      </c>
      <c r="D343" s="24">
        <v>46254</v>
      </c>
      <c r="E343" s="33"/>
      <c r="F343" s="34">
        <v>1000</v>
      </c>
      <c r="G343" s="35" t="s">
        <v>48</v>
      </c>
      <c r="H343" s="32" t="s">
        <v>49</v>
      </c>
      <c r="I343" s="32" t="s">
        <v>12</v>
      </c>
      <c r="J343" s="28" t="s">
        <v>23</v>
      </c>
      <c r="K343" s="27" t="str" cm="1">
        <f t="array" aca="1" ref="K34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44" spans="1:11" x14ac:dyDescent="0.35">
      <c r="A344" s="22">
        <f>YEAR(Tabela135[[#This Row],[Vencimento]])</f>
        <v>2026</v>
      </c>
      <c r="B344" s="23" t="str">
        <f>TEXT(D344,"mmmm")</f>
        <v>agosto</v>
      </c>
      <c r="C344" s="23">
        <f>DAY(Tabela135[[#This Row],[Vencimento]])</f>
        <v>20</v>
      </c>
      <c r="D344" s="24">
        <v>46254</v>
      </c>
      <c r="E344" s="33"/>
      <c r="F344" s="34">
        <v>45</v>
      </c>
      <c r="G344" s="35" t="s">
        <v>50</v>
      </c>
      <c r="H344" s="32" t="s">
        <v>42</v>
      </c>
      <c r="I344" s="32" t="s">
        <v>15</v>
      </c>
      <c r="J344" s="28" t="s">
        <v>23</v>
      </c>
      <c r="K344" s="27" t="str" cm="1">
        <f t="array" aca="1" ref="K34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45" spans="1:11" x14ac:dyDescent="0.35">
      <c r="A345" s="26">
        <f>YEAR(Tabela135[[#This Row],[Vencimento]])</f>
        <v>2026</v>
      </c>
      <c r="B345" s="27" t="str">
        <f>TEXT(D345,"mmmm")</f>
        <v>dezembro</v>
      </c>
      <c r="C345" s="27">
        <f>DAY(Tabela135[[#This Row],[Vencimento]])</f>
        <v>6</v>
      </c>
      <c r="D345" s="24">
        <v>46362</v>
      </c>
      <c r="E345" s="33"/>
      <c r="F345" s="34">
        <v>160</v>
      </c>
      <c r="G345" s="35" t="s">
        <v>21</v>
      </c>
      <c r="H345" s="39" t="s">
        <v>11</v>
      </c>
      <c r="I345" s="39" t="s">
        <v>12</v>
      </c>
      <c r="J345" s="28" t="s">
        <v>23</v>
      </c>
      <c r="K345" s="28" t="str" cm="1">
        <f t="array" aca="1" ref="K34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46" spans="1:11" x14ac:dyDescent="0.35">
      <c r="A346" s="22">
        <f>YEAR(Tabela135[[#This Row],[Vencimento]])</f>
        <v>2026</v>
      </c>
      <c r="B346" s="23" t="str">
        <f>TEXT(D346,"mmmm")</f>
        <v>dezembro</v>
      </c>
      <c r="C346" s="23">
        <f>DAY(Tabela135[[#This Row],[Vencimento]])</f>
        <v>6</v>
      </c>
      <c r="D346" s="24">
        <v>46362</v>
      </c>
      <c r="E346" s="33"/>
      <c r="F346" s="34">
        <v>350</v>
      </c>
      <c r="G346" s="35" t="s">
        <v>10</v>
      </c>
      <c r="H346" s="39" t="s">
        <v>11</v>
      </c>
      <c r="I346" s="39" t="s">
        <v>12</v>
      </c>
      <c r="J346" s="28" t="s">
        <v>23</v>
      </c>
      <c r="K346" s="28" t="str" cm="1">
        <f t="array" aca="1" ref="K34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47" spans="1:11" x14ac:dyDescent="0.35">
      <c r="A347" s="22">
        <f>YEAR(Tabela135[[#This Row],[Vencimento]])</f>
        <v>2026</v>
      </c>
      <c r="B347" s="23" t="str">
        <f>TEXT(D347,"mmmm")</f>
        <v>dezembro</v>
      </c>
      <c r="C347" s="23">
        <f>DAY(Tabela135[[#This Row],[Vencimento]])</f>
        <v>20</v>
      </c>
      <c r="D347" s="24">
        <v>46376</v>
      </c>
      <c r="E347" s="33"/>
      <c r="F347" s="34">
        <v>100</v>
      </c>
      <c r="G347" s="35" t="s">
        <v>20</v>
      </c>
      <c r="H347" s="39" t="s">
        <v>11</v>
      </c>
      <c r="I347" s="39" t="s">
        <v>12</v>
      </c>
      <c r="J347" s="28" t="s">
        <v>23</v>
      </c>
      <c r="K347" s="27" t="str" cm="1">
        <f t="array" aca="1" ref="K34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48" spans="1:11" x14ac:dyDescent="0.35">
      <c r="A348" s="22">
        <f>YEAR(Tabela135[[#This Row],[Vencimento]])</f>
        <v>2026</v>
      </c>
      <c r="B348" s="23" t="str">
        <f>TEXT(D348,"mmmm")</f>
        <v>dezembro</v>
      </c>
      <c r="C348" s="23">
        <f>DAY(Tabela135[[#This Row],[Vencimento]])</f>
        <v>20</v>
      </c>
      <c r="D348" s="24">
        <v>46376</v>
      </c>
      <c r="E348" s="33"/>
      <c r="F348" s="34">
        <v>34</v>
      </c>
      <c r="G348" s="35" t="s">
        <v>18</v>
      </c>
      <c r="H348" s="32" t="s">
        <v>42</v>
      </c>
      <c r="I348" s="32" t="s">
        <v>15</v>
      </c>
      <c r="J348" s="28" t="s">
        <v>23</v>
      </c>
      <c r="K348" s="27" t="str" cm="1">
        <f t="array" aca="1" ref="K34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49" spans="1:11" x14ac:dyDescent="0.35">
      <c r="A349" s="22">
        <f>YEAR(Tabela135[[#This Row],[Vencimento]])</f>
        <v>2026</v>
      </c>
      <c r="B349" s="23" t="str">
        <f>TEXT(D349,"mmmm")</f>
        <v>dezembro</v>
      </c>
      <c r="C349" s="23">
        <f>DAY(Tabela135[[#This Row],[Vencimento]])</f>
        <v>20</v>
      </c>
      <c r="D349" s="24">
        <v>46376</v>
      </c>
      <c r="E349" s="33"/>
      <c r="F349" s="34">
        <v>100</v>
      </c>
      <c r="G349" s="35" t="s">
        <v>43</v>
      </c>
      <c r="H349" s="32" t="s">
        <v>44</v>
      </c>
      <c r="I349" s="32" t="s">
        <v>12</v>
      </c>
      <c r="J349" s="28" t="s">
        <v>23</v>
      </c>
      <c r="K349" s="27" t="str" cm="1">
        <f t="array" aca="1" ref="K34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50" spans="1:11" x14ac:dyDescent="0.35">
      <c r="A350" s="22">
        <f>YEAR(Tabela135[[#This Row],[Vencimento]])</f>
        <v>2026</v>
      </c>
      <c r="B350" s="23" t="str">
        <f>TEXT(D350,"mmmm")</f>
        <v>dezembro</v>
      </c>
      <c r="C350" s="23">
        <f>DAY(Tabela135[[#This Row],[Vencimento]])</f>
        <v>6</v>
      </c>
      <c r="D350" s="24">
        <v>46362</v>
      </c>
      <c r="E350" s="33"/>
      <c r="F350" s="34">
        <v>2500</v>
      </c>
      <c r="G350" s="35" t="s">
        <v>45</v>
      </c>
      <c r="H350" s="32" t="s">
        <v>11</v>
      </c>
      <c r="I350" s="32" t="s">
        <v>12</v>
      </c>
      <c r="J350" s="28" t="s">
        <v>23</v>
      </c>
      <c r="K350" s="27" t="str" cm="1">
        <f t="array" aca="1" ref="K35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51" spans="1:11" x14ac:dyDescent="0.35">
      <c r="A351" s="22">
        <f>YEAR(Tabela135[[#This Row],[Vencimento]])</f>
        <v>2026</v>
      </c>
      <c r="B351" s="23" t="str">
        <f>TEXT(D351,"mmmm")</f>
        <v>dezembro</v>
      </c>
      <c r="C351" s="23">
        <f>DAY(Tabela135[[#This Row],[Vencimento]])</f>
        <v>20</v>
      </c>
      <c r="D351" s="24">
        <v>46376</v>
      </c>
      <c r="E351" s="33"/>
      <c r="F351" s="34">
        <v>800</v>
      </c>
      <c r="G351" s="35" t="s">
        <v>46</v>
      </c>
      <c r="H351" s="32" t="s">
        <v>47</v>
      </c>
      <c r="I351" s="32" t="s">
        <v>12</v>
      </c>
      <c r="J351" s="28" t="s">
        <v>23</v>
      </c>
      <c r="K351" s="27" t="str" cm="1">
        <f t="array" aca="1" ref="K35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52" spans="1:11" x14ac:dyDescent="0.35">
      <c r="A352" s="22">
        <f>YEAR(Tabela135[[#This Row],[Vencimento]])</f>
        <v>2026</v>
      </c>
      <c r="B352" s="23" t="str">
        <f>TEXT(D352,"mmmm")</f>
        <v>dezembro</v>
      </c>
      <c r="C352" s="23">
        <f>DAY(Tabela135[[#This Row],[Vencimento]])</f>
        <v>20</v>
      </c>
      <c r="D352" s="24">
        <v>46376</v>
      </c>
      <c r="E352" s="33"/>
      <c r="F352" s="34">
        <v>1000</v>
      </c>
      <c r="G352" s="35" t="s">
        <v>48</v>
      </c>
      <c r="H352" s="32" t="s">
        <v>49</v>
      </c>
      <c r="I352" s="32" t="s">
        <v>12</v>
      </c>
      <c r="J352" s="28" t="s">
        <v>23</v>
      </c>
      <c r="K352" s="27" t="str" cm="1">
        <f t="array" aca="1" ref="K35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53" spans="1:11" x14ac:dyDescent="0.35">
      <c r="A353" s="22">
        <f>YEAR(Tabela135[[#This Row],[Vencimento]])</f>
        <v>2026</v>
      </c>
      <c r="B353" s="23" t="str">
        <f>TEXT(D353,"mmmm")</f>
        <v>dezembro</v>
      </c>
      <c r="C353" s="23">
        <f>DAY(Tabela135[[#This Row],[Vencimento]])</f>
        <v>20</v>
      </c>
      <c r="D353" s="24">
        <v>46376</v>
      </c>
      <c r="E353" s="33"/>
      <c r="F353" s="34">
        <v>22</v>
      </c>
      <c r="G353" s="35" t="s">
        <v>50</v>
      </c>
      <c r="H353" s="32" t="s">
        <v>42</v>
      </c>
      <c r="I353" s="32" t="s">
        <v>15</v>
      </c>
      <c r="J353" s="28" t="s">
        <v>23</v>
      </c>
      <c r="K353" s="27" t="str" cm="1">
        <f t="array" aca="1" ref="K35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54" spans="1:11" x14ac:dyDescent="0.35">
      <c r="A354" s="26">
        <f>YEAR(Tabela135[[#This Row],[Vencimento]])</f>
        <v>2026</v>
      </c>
      <c r="B354" s="27" t="str">
        <f>TEXT(D354,"mmmm")</f>
        <v>fevereiro</v>
      </c>
      <c r="C354" s="27">
        <f>DAY(Tabela135[[#This Row],[Vencimento]])</f>
        <v>6</v>
      </c>
      <c r="D354" s="24">
        <v>46059</v>
      </c>
      <c r="E354" s="33">
        <v>46075</v>
      </c>
      <c r="F354" s="34">
        <v>160</v>
      </c>
      <c r="G354" s="35" t="s">
        <v>21</v>
      </c>
      <c r="H354" s="39" t="s">
        <v>11</v>
      </c>
      <c r="I354" s="39" t="s">
        <v>12</v>
      </c>
      <c r="J354" s="28" t="s">
        <v>13</v>
      </c>
      <c r="K354" s="28" t="str" cm="1">
        <f t="array" aca="1" ref="K35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55" spans="1:11" x14ac:dyDescent="0.35">
      <c r="A355" s="22">
        <f>YEAR(Tabela135[[#This Row],[Vencimento]])</f>
        <v>2026</v>
      </c>
      <c r="B355" s="23" t="str">
        <f>TEXT(D355,"mmmm")</f>
        <v>fevereiro</v>
      </c>
      <c r="C355" s="23">
        <f>DAY(Tabela135[[#This Row],[Vencimento]])</f>
        <v>6</v>
      </c>
      <c r="D355" s="24">
        <v>46059</v>
      </c>
      <c r="E355" s="33">
        <v>46075</v>
      </c>
      <c r="F355" s="34">
        <v>350</v>
      </c>
      <c r="G355" s="35" t="s">
        <v>10</v>
      </c>
      <c r="H355" s="39" t="s">
        <v>11</v>
      </c>
      <c r="I355" s="39" t="s">
        <v>12</v>
      </c>
      <c r="J355" s="28" t="s">
        <v>13</v>
      </c>
      <c r="K355" s="28" t="str" cm="1">
        <f t="array" aca="1" ref="K35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56" spans="1:11" x14ac:dyDescent="0.35">
      <c r="A356" s="22">
        <f>YEAR(Tabela135[[#This Row],[Vencimento]])</f>
        <v>2026</v>
      </c>
      <c r="B356" s="23" t="str">
        <f>TEXT(D356,"mmmm")</f>
        <v>fevereiro</v>
      </c>
      <c r="C356" s="23">
        <f>DAY(Tabela135[[#This Row],[Vencimento]])</f>
        <v>20</v>
      </c>
      <c r="D356" s="24">
        <v>46073</v>
      </c>
      <c r="E356" s="33">
        <v>46075</v>
      </c>
      <c r="F356" s="34">
        <v>100</v>
      </c>
      <c r="G356" s="35" t="s">
        <v>20</v>
      </c>
      <c r="H356" s="39" t="s">
        <v>11</v>
      </c>
      <c r="I356" s="39" t="s">
        <v>12</v>
      </c>
      <c r="J356" s="28" t="s">
        <v>13</v>
      </c>
      <c r="K356" s="27" t="str" cm="1">
        <f t="array" aca="1" ref="K35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57" spans="1:11" x14ac:dyDescent="0.35">
      <c r="A357" s="22">
        <f>YEAR(Tabela135[[#This Row],[Vencimento]])</f>
        <v>2026</v>
      </c>
      <c r="B357" s="23" t="str">
        <f>TEXT(D357,"mmmm")</f>
        <v>fevereiro</v>
      </c>
      <c r="C357" s="23">
        <f>DAY(Tabela135[[#This Row],[Vencimento]])</f>
        <v>20</v>
      </c>
      <c r="D357" s="24">
        <v>46073</v>
      </c>
      <c r="E357" s="33">
        <v>46075</v>
      </c>
      <c r="F357" s="34">
        <v>987</v>
      </c>
      <c r="G357" s="35" t="s">
        <v>18</v>
      </c>
      <c r="H357" s="32" t="s">
        <v>42</v>
      </c>
      <c r="I357" s="32" t="s">
        <v>15</v>
      </c>
      <c r="J357" s="28" t="s">
        <v>13</v>
      </c>
      <c r="K357" s="27" t="str" cm="1">
        <f t="array" aca="1" ref="K35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58" spans="1:11" x14ac:dyDescent="0.35">
      <c r="A358" s="22">
        <f>YEAR(Tabela135[[#This Row],[Vencimento]])</f>
        <v>2026</v>
      </c>
      <c r="B358" s="23" t="str">
        <f>TEXT(D358,"mmmm")</f>
        <v>fevereiro</v>
      </c>
      <c r="C358" s="23">
        <f>DAY(Tabela135[[#This Row],[Vencimento]])</f>
        <v>20</v>
      </c>
      <c r="D358" s="24">
        <v>46073</v>
      </c>
      <c r="E358" s="33">
        <v>46072</v>
      </c>
      <c r="F358" s="34">
        <v>100</v>
      </c>
      <c r="G358" s="35" t="s">
        <v>43</v>
      </c>
      <c r="H358" s="32" t="s">
        <v>44</v>
      </c>
      <c r="I358" s="32" t="s">
        <v>12</v>
      </c>
      <c r="J358" s="28" t="s">
        <v>13</v>
      </c>
      <c r="K358" s="27" t="str" cm="1">
        <f t="array" aca="1" ref="K35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59" spans="1:11" x14ac:dyDescent="0.35">
      <c r="A359" s="22">
        <f>YEAR(Tabela135[[#This Row],[Vencimento]])</f>
        <v>2026</v>
      </c>
      <c r="B359" s="23" t="str">
        <f>TEXT(D359,"mmmm")</f>
        <v>fevereiro</v>
      </c>
      <c r="C359" s="23">
        <f>DAY(Tabela135[[#This Row],[Vencimento]])</f>
        <v>6</v>
      </c>
      <c r="D359" s="24">
        <v>46059</v>
      </c>
      <c r="E359" s="33">
        <v>46059</v>
      </c>
      <c r="F359" s="34">
        <v>2500</v>
      </c>
      <c r="G359" s="35" t="s">
        <v>45</v>
      </c>
      <c r="H359" s="32" t="s">
        <v>11</v>
      </c>
      <c r="I359" s="32" t="s">
        <v>12</v>
      </c>
      <c r="J359" s="28" t="s">
        <v>13</v>
      </c>
      <c r="K359" s="27" t="str" cm="1">
        <f t="array" aca="1" ref="K35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60" spans="1:11" x14ac:dyDescent="0.35">
      <c r="A360" s="22">
        <f>YEAR(Tabela135[[#This Row],[Vencimento]])</f>
        <v>2026</v>
      </c>
      <c r="B360" s="23" t="str">
        <f>TEXT(D360,"mmmm")</f>
        <v>fevereiro</v>
      </c>
      <c r="C360" s="23">
        <f>DAY(Tabela135[[#This Row],[Vencimento]])</f>
        <v>20</v>
      </c>
      <c r="D360" s="24">
        <v>46073</v>
      </c>
      <c r="E360" s="33">
        <v>46072</v>
      </c>
      <c r="F360" s="34">
        <v>800</v>
      </c>
      <c r="G360" s="35" t="s">
        <v>46</v>
      </c>
      <c r="H360" s="32" t="s">
        <v>47</v>
      </c>
      <c r="I360" s="32" t="s">
        <v>12</v>
      </c>
      <c r="J360" s="28" t="s">
        <v>13</v>
      </c>
      <c r="K360" s="27" t="str" cm="1">
        <f t="array" aca="1" ref="K36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61" spans="1:11" x14ac:dyDescent="0.35">
      <c r="A361" s="22">
        <f>YEAR(Tabela135[[#This Row],[Vencimento]])</f>
        <v>2026</v>
      </c>
      <c r="B361" s="23" t="str">
        <f>TEXT(D361,"mmmm")</f>
        <v>fevereiro</v>
      </c>
      <c r="C361" s="23">
        <f>DAY(Tabela135[[#This Row],[Vencimento]])</f>
        <v>20</v>
      </c>
      <c r="D361" s="24">
        <v>46073</v>
      </c>
      <c r="E361" s="33">
        <v>46072</v>
      </c>
      <c r="F361" s="34">
        <v>1000</v>
      </c>
      <c r="G361" s="35" t="s">
        <v>48</v>
      </c>
      <c r="H361" s="32" t="s">
        <v>49</v>
      </c>
      <c r="I361" s="32" t="s">
        <v>12</v>
      </c>
      <c r="J361" s="28" t="s">
        <v>13</v>
      </c>
      <c r="K361" s="27" t="str" cm="1">
        <f t="array" aca="1" ref="K36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62" spans="1:11" x14ac:dyDescent="0.35">
      <c r="A362" s="22">
        <f>YEAR(Tabela135[[#This Row],[Vencimento]])</f>
        <v>2026</v>
      </c>
      <c r="B362" s="23" t="str">
        <f>TEXT(D362,"mmmm")</f>
        <v>fevereiro</v>
      </c>
      <c r="C362" s="23">
        <f>DAY(Tabela135[[#This Row],[Vencimento]])</f>
        <v>20</v>
      </c>
      <c r="D362" s="24">
        <v>46073</v>
      </c>
      <c r="E362" s="33">
        <v>46075</v>
      </c>
      <c r="F362" s="34">
        <v>212</v>
      </c>
      <c r="G362" s="35" t="s">
        <v>50</v>
      </c>
      <c r="H362" s="32" t="s">
        <v>42</v>
      </c>
      <c r="I362" s="32" t="s">
        <v>15</v>
      </c>
      <c r="J362" s="28" t="s">
        <v>13</v>
      </c>
      <c r="K362" s="27" t="str" cm="1">
        <f t="array" aca="1" ref="K36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63" spans="1:11" x14ac:dyDescent="0.35">
      <c r="A363" s="22">
        <f>YEAR(Tabela135[[#This Row],[Vencimento]])</f>
        <v>2026</v>
      </c>
      <c r="B363" s="23" t="str">
        <f>TEXT(D363,"mmmm")</f>
        <v>fevereiro</v>
      </c>
      <c r="C363" s="23">
        <f>DAY(Tabela135[[#This Row],[Vencimento]])</f>
        <v>20</v>
      </c>
      <c r="D363" s="24">
        <v>46073</v>
      </c>
      <c r="E363" s="33">
        <v>46073</v>
      </c>
      <c r="F363" s="34">
        <v>101</v>
      </c>
      <c r="G363" s="35" t="s">
        <v>51</v>
      </c>
      <c r="H363" s="32" t="s">
        <v>52</v>
      </c>
      <c r="I363" s="32" t="s">
        <v>15</v>
      </c>
      <c r="J363" s="28" t="s">
        <v>13</v>
      </c>
      <c r="K363" s="27" t="str" cm="1">
        <f t="array" aca="1" ref="K36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64" spans="1:11" x14ac:dyDescent="0.35">
      <c r="A364" s="26">
        <f>YEAR(Tabela135[[#This Row],[Vencimento]])</f>
        <v>2026</v>
      </c>
      <c r="B364" s="27" t="str">
        <f>TEXT(D364,"mmmm")</f>
        <v>janeiro</v>
      </c>
      <c r="C364" s="27">
        <f>DAY(Tabela135[[#This Row],[Vencimento]])</f>
        <v>6</v>
      </c>
      <c r="D364" s="24">
        <v>46028</v>
      </c>
      <c r="E364" s="33">
        <v>46045</v>
      </c>
      <c r="F364" s="34">
        <v>160</v>
      </c>
      <c r="G364" s="35" t="s">
        <v>21</v>
      </c>
      <c r="H364" s="39" t="s">
        <v>11</v>
      </c>
      <c r="I364" s="39" t="s">
        <v>12</v>
      </c>
      <c r="J364" s="28" t="s">
        <v>13</v>
      </c>
      <c r="K364" s="28" t="str" cm="1">
        <f t="array" aca="1" ref="K36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65" spans="1:11" x14ac:dyDescent="0.35">
      <c r="A365" s="22">
        <f>YEAR(Tabela135[[#This Row],[Vencimento]])</f>
        <v>2026</v>
      </c>
      <c r="B365" s="23" t="str">
        <f>TEXT(D365,"mmmm")</f>
        <v>janeiro</v>
      </c>
      <c r="C365" s="23">
        <f>DAY(Tabela135[[#This Row],[Vencimento]])</f>
        <v>6</v>
      </c>
      <c r="D365" s="24">
        <v>46028</v>
      </c>
      <c r="E365" s="33">
        <v>46045</v>
      </c>
      <c r="F365" s="34">
        <v>350</v>
      </c>
      <c r="G365" s="35" t="s">
        <v>10</v>
      </c>
      <c r="H365" s="39" t="s">
        <v>11</v>
      </c>
      <c r="I365" s="39" t="s">
        <v>12</v>
      </c>
      <c r="J365" s="28" t="s">
        <v>13</v>
      </c>
      <c r="K365" s="28" t="str" cm="1">
        <f t="array" aca="1" ref="K36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66" spans="1:11" x14ac:dyDescent="0.35">
      <c r="A366" s="22">
        <f>YEAR(Tabela135[[#This Row],[Vencimento]])</f>
        <v>2026</v>
      </c>
      <c r="B366" s="23" t="str">
        <f>TEXT(D366,"mmmm")</f>
        <v>janeiro</v>
      </c>
      <c r="C366" s="23">
        <f>DAY(Tabela135[[#This Row],[Vencimento]])</f>
        <v>20</v>
      </c>
      <c r="D366" s="24">
        <v>46042</v>
      </c>
      <c r="E366" s="33">
        <v>46045</v>
      </c>
      <c r="F366" s="34">
        <v>100</v>
      </c>
      <c r="G366" s="35" t="s">
        <v>20</v>
      </c>
      <c r="H366" s="39" t="s">
        <v>11</v>
      </c>
      <c r="I366" s="39" t="s">
        <v>12</v>
      </c>
      <c r="J366" s="28" t="s">
        <v>13</v>
      </c>
      <c r="K366" s="27" t="str" cm="1">
        <f t="array" aca="1" ref="K36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67" spans="1:11" x14ac:dyDescent="0.35">
      <c r="A367" s="22">
        <f>YEAR(Tabela135[[#This Row],[Vencimento]])</f>
        <v>2026</v>
      </c>
      <c r="B367" s="23" t="str">
        <f>TEXT(D367,"mmmm")</f>
        <v>janeiro</v>
      </c>
      <c r="C367" s="23">
        <f>DAY(Tabela135[[#This Row],[Vencimento]])</f>
        <v>20</v>
      </c>
      <c r="D367" s="24">
        <v>46042</v>
      </c>
      <c r="E367" s="33">
        <v>46045</v>
      </c>
      <c r="F367" s="34">
        <v>368</v>
      </c>
      <c r="G367" s="35" t="s">
        <v>18</v>
      </c>
      <c r="H367" s="32" t="s">
        <v>42</v>
      </c>
      <c r="I367" s="32" t="s">
        <v>15</v>
      </c>
      <c r="J367" s="28" t="s">
        <v>13</v>
      </c>
      <c r="K367" s="27" t="str" cm="1">
        <f t="array" aca="1" ref="K36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68" spans="1:11" x14ac:dyDescent="0.35">
      <c r="A368" s="22">
        <f>YEAR(Tabela135[[#This Row],[Vencimento]])</f>
        <v>2026</v>
      </c>
      <c r="B368" s="23" t="str">
        <f>TEXT(D368,"mmmm")</f>
        <v>janeiro</v>
      </c>
      <c r="C368" s="23">
        <f>DAY(Tabela135[[#This Row],[Vencimento]])</f>
        <v>20</v>
      </c>
      <c r="D368" s="24">
        <v>46042</v>
      </c>
      <c r="E368" s="33">
        <v>46045</v>
      </c>
      <c r="F368" s="34">
        <v>100</v>
      </c>
      <c r="G368" s="35" t="s">
        <v>43</v>
      </c>
      <c r="H368" s="32" t="s">
        <v>44</v>
      </c>
      <c r="I368" s="32" t="s">
        <v>12</v>
      </c>
      <c r="J368" s="28" t="s">
        <v>13</v>
      </c>
      <c r="K368" s="27" t="str" cm="1">
        <f t="array" aca="1" ref="K36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69" spans="1:11" x14ac:dyDescent="0.35">
      <c r="A369" s="22">
        <f>YEAR(Tabela135[[#This Row],[Vencimento]])</f>
        <v>2026</v>
      </c>
      <c r="B369" s="23" t="str">
        <f>TEXT(D369,"mmmm")</f>
        <v>janeiro</v>
      </c>
      <c r="C369" s="23">
        <f>DAY(Tabela135[[#This Row],[Vencimento]])</f>
        <v>6</v>
      </c>
      <c r="D369" s="24">
        <v>46028</v>
      </c>
      <c r="E369" s="33">
        <v>46027</v>
      </c>
      <c r="F369" s="34">
        <v>2500</v>
      </c>
      <c r="G369" s="35" t="s">
        <v>45</v>
      </c>
      <c r="H369" s="32" t="s">
        <v>11</v>
      </c>
      <c r="I369" s="32" t="s">
        <v>12</v>
      </c>
      <c r="J369" s="28" t="s">
        <v>13</v>
      </c>
      <c r="K369" s="27" t="str" cm="1">
        <f t="array" aca="1" ref="K36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70" spans="1:11" x14ac:dyDescent="0.35">
      <c r="A370" s="22">
        <f>YEAR(Tabela135[[#This Row],[Vencimento]])</f>
        <v>2026</v>
      </c>
      <c r="B370" s="23" t="str">
        <f>TEXT(D370,"mmmm")</f>
        <v>janeiro</v>
      </c>
      <c r="C370" s="23">
        <f>DAY(Tabela135[[#This Row],[Vencimento]])</f>
        <v>20</v>
      </c>
      <c r="D370" s="24">
        <v>46042</v>
      </c>
      <c r="E370" s="33">
        <v>46045</v>
      </c>
      <c r="F370" s="34">
        <v>800</v>
      </c>
      <c r="G370" s="35" t="s">
        <v>46</v>
      </c>
      <c r="H370" s="32" t="s">
        <v>47</v>
      </c>
      <c r="I370" s="32" t="s">
        <v>12</v>
      </c>
      <c r="J370" s="28" t="s">
        <v>13</v>
      </c>
      <c r="K370" s="27" t="str" cm="1">
        <f t="array" aca="1" ref="K37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71" spans="1:11" x14ac:dyDescent="0.35">
      <c r="A371" s="22">
        <f>YEAR(Tabela135[[#This Row],[Vencimento]])</f>
        <v>2026</v>
      </c>
      <c r="B371" s="23" t="str">
        <f>TEXT(D371,"mmmm")</f>
        <v>janeiro</v>
      </c>
      <c r="C371" s="23">
        <f>DAY(Tabela135[[#This Row],[Vencimento]])</f>
        <v>20</v>
      </c>
      <c r="D371" s="24">
        <v>46042</v>
      </c>
      <c r="E371" s="33">
        <v>46045</v>
      </c>
      <c r="F371" s="34">
        <v>1000</v>
      </c>
      <c r="G371" s="35" t="s">
        <v>48</v>
      </c>
      <c r="H371" s="32" t="s">
        <v>49</v>
      </c>
      <c r="I371" s="32" t="s">
        <v>12</v>
      </c>
      <c r="J371" s="28" t="s">
        <v>13</v>
      </c>
      <c r="K371" s="27" t="str" cm="1">
        <f t="array" aca="1" ref="K37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72" spans="1:11" x14ac:dyDescent="0.35">
      <c r="A372" s="22">
        <f>YEAR(Tabela135[[#This Row],[Vencimento]])</f>
        <v>2026</v>
      </c>
      <c r="B372" s="23" t="str">
        <f>TEXT(D372,"mmmm")</f>
        <v>janeiro</v>
      </c>
      <c r="C372" s="23">
        <f>DAY(Tabela135[[#This Row],[Vencimento]])</f>
        <v>20</v>
      </c>
      <c r="D372" s="24">
        <v>46042</v>
      </c>
      <c r="E372" s="33">
        <v>46045</v>
      </c>
      <c r="F372" s="34">
        <v>443</v>
      </c>
      <c r="G372" s="35" t="s">
        <v>50</v>
      </c>
      <c r="H372" s="32" t="s">
        <v>42</v>
      </c>
      <c r="I372" s="32" t="s">
        <v>15</v>
      </c>
      <c r="J372" s="28" t="s">
        <v>13</v>
      </c>
      <c r="K372" s="27" t="str" cm="1">
        <f t="array" aca="1" ref="K37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373" spans="1:11" x14ac:dyDescent="0.35">
      <c r="A373" s="22">
        <f>YEAR(Tabela135[[#This Row],[Vencimento]])</f>
        <v>2026</v>
      </c>
      <c r="B373" s="23" t="str">
        <f>TEXT(D373,"mmmm")</f>
        <v>janeiro</v>
      </c>
      <c r="C373" s="23">
        <f>DAY(Tabela135[[#This Row],[Vencimento]])</f>
        <v>20</v>
      </c>
      <c r="D373" s="24">
        <v>46042</v>
      </c>
      <c r="E373" s="33">
        <v>46041</v>
      </c>
      <c r="F373" s="34">
        <v>122</v>
      </c>
      <c r="G373" s="35" t="s">
        <v>51</v>
      </c>
      <c r="H373" s="32" t="s">
        <v>52</v>
      </c>
      <c r="I373" s="32" t="s">
        <v>15</v>
      </c>
      <c r="J373" s="28" t="s">
        <v>13</v>
      </c>
      <c r="K373" s="27" t="str" cm="1">
        <f t="array" aca="1" ref="K37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74" spans="1:11" x14ac:dyDescent="0.35">
      <c r="A374" s="26">
        <f>YEAR(Tabela135[[#This Row],[Vencimento]])</f>
        <v>2026</v>
      </c>
      <c r="B374" s="27" t="str">
        <f>TEXT(D374,"mmmm")</f>
        <v>julho</v>
      </c>
      <c r="C374" s="27">
        <f>DAY(Tabela135[[#This Row],[Vencimento]])</f>
        <v>6</v>
      </c>
      <c r="D374" s="24">
        <v>46209</v>
      </c>
      <c r="E374" s="33"/>
      <c r="F374" s="34">
        <v>160</v>
      </c>
      <c r="G374" s="35" t="s">
        <v>21</v>
      </c>
      <c r="H374" s="39" t="s">
        <v>11</v>
      </c>
      <c r="I374" s="39" t="s">
        <v>12</v>
      </c>
      <c r="J374" s="28" t="s">
        <v>23</v>
      </c>
      <c r="K374" s="28" t="str" cm="1">
        <f t="array" aca="1" ref="K37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75" spans="1:11" x14ac:dyDescent="0.35">
      <c r="A375" s="22">
        <f>YEAR(Tabela135[[#This Row],[Vencimento]])</f>
        <v>2026</v>
      </c>
      <c r="B375" s="27" t="str">
        <f>TEXT(D375,"mmmm")</f>
        <v>julho</v>
      </c>
      <c r="C375" s="27">
        <f>DAY(Tabela135[[#This Row],[Vencimento]])</f>
        <v>6</v>
      </c>
      <c r="D375" s="24">
        <v>46209</v>
      </c>
      <c r="E375" s="33"/>
      <c r="F375" s="34">
        <v>350</v>
      </c>
      <c r="G375" s="35" t="s">
        <v>10</v>
      </c>
      <c r="H375" s="39" t="s">
        <v>11</v>
      </c>
      <c r="I375" s="39" t="s">
        <v>12</v>
      </c>
      <c r="J375" s="28" t="s">
        <v>23</v>
      </c>
      <c r="K375" s="28" t="str" cm="1">
        <f t="array" aca="1" ref="K37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76" spans="1:11" x14ac:dyDescent="0.35">
      <c r="A376" s="22">
        <f>YEAR(Tabela135[[#This Row],[Vencimento]])</f>
        <v>2026</v>
      </c>
      <c r="B376" s="27" t="str">
        <f>TEXT(D376,"mmmm")</f>
        <v>julho</v>
      </c>
      <c r="C376" s="27">
        <f>DAY(Tabela135[[#This Row],[Vencimento]])</f>
        <v>20</v>
      </c>
      <c r="D376" s="24">
        <v>46223</v>
      </c>
      <c r="E376" s="33"/>
      <c r="F376" s="34">
        <v>100</v>
      </c>
      <c r="G376" s="35" t="s">
        <v>20</v>
      </c>
      <c r="H376" s="39" t="s">
        <v>11</v>
      </c>
      <c r="I376" s="39" t="s">
        <v>12</v>
      </c>
      <c r="J376" s="28" t="s">
        <v>23</v>
      </c>
      <c r="K376" s="27" t="str" cm="1">
        <f t="array" aca="1" ref="K37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77" spans="1:11" x14ac:dyDescent="0.35">
      <c r="A377" s="22">
        <f>YEAR(Tabela135[[#This Row],[Vencimento]])</f>
        <v>2026</v>
      </c>
      <c r="B377" s="27" t="str">
        <f>TEXT(D377,"mmmm")</f>
        <v>julho</v>
      </c>
      <c r="C377" s="27">
        <f>DAY(Tabela135[[#This Row],[Vencimento]])</f>
        <v>20</v>
      </c>
      <c r="D377" s="24">
        <v>46223</v>
      </c>
      <c r="E377" s="33"/>
      <c r="F377" s="34">
        <v>368</v>
      </c>
      <c r="G377" s="35" t="s">
        <v>18</v>
      </c>
      <c r="H377" s="32" t="s">
        <v>42</v>
      </c>
      <c r="I377" s="32" t="s">
        <v>15</v>
      </c>
      <c r="J377" s="28" t="s">
        <v>23</v>
      </c>
      <c r="K377" s="27" t="str" cm="1">
        <f t="array" aca="1" ref="K37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78" spans="1:11" x14ac:dyDescent="0.35">
      <c r="A378" s="22">
        <f>YEAR(Tabela135[[#This Row],[Vencimento]])</f>
        <v>2026</v>
      </c>
      <c r="B378" s="27" t="str">
        <f>TEXT(D378,"mmmm")</f>
        <v>julho</v>
      </c>
      <c r="C378" s="27">
        <f>DAY(Tabela135[[#This Row],[Vencimento]])</f>
        <v>20</v>
      </c>
      <c r="D378" s="24">
        <v>46223</v>
      </c>
      <c r="E378" s="33"/>
      <c r="F378" s="34">
        <v>100</v>
      </c>
      <c r="G378" s="35" t="s">
        <v>43</v>
      </c>
      <c r="H378" s="32" t="s">
        <v>44</v>
      </c>
      <c r="I378" s="32" t="s">
        <v>12</v>
      </c>
      <c r="J378" s="28" t="s">
        <v>23</v>
      </c>
      <c r="K378" s="27" t="str" cm="1">
        <f t="array" aca="1" ref="K37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79" spans="1:11" x14ac:dyDescent="0.35">
      <c r="A379" s="22">
        <f>YEAR(Tabela135[[#This Row],[Vencimento]])</f>
        <v>2026</v>
      </c>
      <c r="B379" s="27" t="str">
        <f>TEXT(D379,"mmmm")</f>
        <v>julho</v>
      </c>
      <c r="C379" s="27">
        <f>DAY(Tabela135[[#This Row],[Vencimento]])</f>
        <v>6</v>
      </c>
      <c r="D379" s="24">
        <v>46209</v>
      </c>
      <c r="E379" s="33"/>
      <c r="F379" s="34">
        <v>2500</v>
      </c>
      <c r="G379" s="35" t="s">
        <v>45</v>
      </c>
      <c r="H379" s="32" t="s">
        <v>11</v>
      </c>
      <c r="I379" s="32" t="s">
        <v>12</v>
      </c>
      <c r="J379" s="28" t="s">
        <v>23</v>
      </c>
      <c r="K379" s="27" t="str" cm="1">
        <f t="array" aca="1" ref="K37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80" spans="1:11" x14ac:dyDescent="0.35">
      <c r="A380" s="22">
        <f>YEAR(Tabela135[[#This Row],[Vencimento]])</f>
        <v>2026</v>
      </c>
      <c r="B380" s="27" t="str">
        <f>TEXT(D380,"mmmm")</f>
        <v>julho</v>
      </c>
      <c r="C380" s="27">
        <f>DAY(Tabela135[[#This Row],[Vencimento]])</f>
        <v>20</v>
      </c>
      <c r="D380" s="24">
        <v>46223</v>
      </c>
      <c r="E380" s="33"/>
      <c r="F380" s="34">
        <v>800</v>
      </c>
      <c r="G380" s="35" t="s">
        <v>46</v>
      </c>
      <c r="H380" s="32" t="s">
        <v>47</v>
      </c>
      <c r="I380" s="32" t="s">
        <v>12</v>
      </c>
      <c r="J380" s="28" t="s">
        <v>23</v>
      </c>
      <c r="K380" s="27" t="str" cm="1">
        <f t="array" aca="1" ref="K38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81" spans="1:11" x14ac:dyDescent="0.35">
      <c r="A381" s="22">
        <f>YEAR(Tabela135[[#This Row],[Vencimento]])</f>
        <v>2026</v>
      </c>
      <c r="B381" s="27" t="str">
        <f>TEXT(D381,"mmmm")</f>
        <v>julho</v>
      </c>
      <c r="C381" s="27">
        <f>DAY(Tabela135[[#This Row],[Vencimento]])</f>
        <v>20</v>
      </c>
      <c r="D381" s="24">
        <v>46223</v>
      </c>
      <c r="E381" s="33"/>
      <c r="F381" s="34">
        <v>1000</v>
      </c>
      <c r="G381" s="35" t="s">
        <v>48</v>
      </c>
      <c r="H381" s="32" t="s">
        <v>49</v>
      </c>
      <c r="I381" s="32" t="s">
        <v>12</v>
      </c>
      <c r="J381" s="28" t="s">
        <v>23</v>
      </c>
      <c r="K381" s="27" t="str" cm="1">
        <f t="array" aca="1" ref="K38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82" spans="1:11" x14ac:dyDescent="0.35">
      <c r="A382" s="22">
        <f>YEAR(Tabela135[[#This Row],[Vencimento]])</f>
        <v>2026</v>
      </c>
      <c r="B382" s="27" t="str">
        <f>TEXT(D382,"mmmm")</f>
        <v>julho</v>
      </c>
      <c r="C382" s="27">
        <f>DAY(Tabela135[[#This Row],[Vencimento]])</f>
        <v>20</v>
      </c>
      <c r="D382" s="24">
        <v>46223</v>
      </c>
      <c r="E382" s="33"/>
      <c r="F382" s="34">
        <v>368</v>
      </c>
      <c r="G382" s="35" t="s">
        <v>50</v>
      </c>
      <c r="H382" s="32" t="s">
        <v>42</v>
      </c>
      <c r="I382" s="32" t="s">
        <v>15</v>
      </c>
      <c r="J382" s="28" t="s">
        <v>23</v>
      </c>
      <c r="K382" s="27" t="str" cm="1">
        <f t="array" aca="1" ref="K38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83" spans="1:11" x14ac:dyDescent="0.35">
      <c r="A383" s="26">
        <f>YEAR(Tabela135[[#This Row],[Vencimento]])</f>
        <v>2026</v>
      </c>
      <c r="B383" s="27" t="str">
        <f>TEXT(D383,"mmmm")</f>
        <v>junho</v>
      </c>
      <c r="C383" s="27">
        <f>DAY(Tabela135[[#This Row],[Vencimento]])</f>
        <v>6</v>
      </c>
      <c r="D383" s="24">
        <v>46179</v>
      </c>
      <c r="E383" s="33"/>
      <c r="F383" s="34">
        <v>160</v>
      </c>
      <c r="G383" s="35" t="s">
        <v>21</v>
      </c>
      <c r="H383" s="39" t="s">
        <v>11</v>
      </c>
      <c r="I383" s="39" t="s">
        <v>12</v>
      </c>
      <c r="J383" s="28" t="s">
        <v>23</v>
      </c>
      <c r="K383" s="28" t="str" cm="1">
        <f t="array" aca="1" ref="K38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84" spans="1:11" x14ac:dyDescent="0.35">
      <c r="A384" s="22">
        <f>YEAR(Tabela135[[#This Row],[Vencimento]])</f>
        <v>2026</v>
      </c>
      <c r="B384" s="23" t="str">
        <f>TEXT(D384,"mmmm")</f>
        <v>junho</v>
      </c>
      <c r="C384" s="23">
        <f>DAY(Tabela135[[#This Row],[Vencimento]])</f>
        <v>6</v>
      </c>
      <c r="D384" s="24">
        <v>46179</v>
      </c>
      <c r="E384" s="33"/>
      <c r="F384" s="34">
        <v>350</v>
      </c>
      <c r="G384" s="35" t="s">
        <v>10</v>
      </c>
      <c r="H384" s="39" t="s">
        <v>11</v>
      </c>
      <c r="I384" s="39" t="s">
        <v>12</v>
      </c>
      <c r="J384" s="28" t="s">
        <v>23</v>
      </c>
      <c r="K384" s="28" t="str" cm="1">
        <f t="array" aca="1" ref="K38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85" spans="1:11" x14ac:dyDescent="0.35">
      <c r="A385" s="42">
        <f>YEAR(Tabela135[[#This Row],[Vencimento]])</f>
        <v>2026</v>
      </c>
      <c r="B385" s="25" t="str">
        <f>TEXT(D385,"mmmm")</f>
        <v>junho</v>
      </c>
      <c r="C385" s="25">
        <f>DAY(Tabela135[[#This Row],[Vencimento]])</f>
        <v>20</v>
      </c>
      <c r="D385" s="40">
        <v>46193</v>
      </c>
      <c r="E385" s="36"/>
      <c r="F385" s="34">
        <v>100</v>
      </c>
      <c r="G385" s="35" t="s">
        <v>20</v>
      </c>
      <c r="H385" s="39" t="s">
        <v>11</v>
      </c>
      <c r="I385" s="41" t="s">
        <v>12</v>
      </c>
      <c r="J385" s="31" t="s">
        <v>23</v>
      </c>
      <c r="K385" s="38" t="str" cm="1">
        <f t="array" aca="1" ref="K38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86" spans="1:11" x14ac:dyDescent="0.35">
      <c r="A386" s="22">
        <f>YEAR(Tabela135[[#This Row],[Vencimento]])</f>
        <v>2026</v>
      </c>
      <c r="B386" s="23" t="str">
        <f>TEXT(D386,"mmmm")</f>
        <v>junho</v>
      </c>
      <c r="C386" s="23">
        <f>DAY(Tabela135[[#This Row],[Vencimento]])</f>
        <v>20</v>
      </c>
      <c r="D386" s="24">
        <v>46193</v>
      </c>
      <c r="E386" s="33"/>
      <c r="F386" s="34">
        <v>837</v>
      </c>
      <c r="G386" s="35" t="s">
        <v>18</v>
      </c>
      <c r="H386" s="32" t="s">
        <v>42</v>
      </c>
      <c r="I386" s="32" t="s">
        <v>15</v>
      </c>
      <c r="J386" s="28" t="s">
        <v>23</v>
      </c>
      <c r="K386" s="27" t="str" cm="1">
        <f t="array" aca="1" ref="K38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87" spans="1:11" x14ac:dyDescent="0.35">
      <c r="A387" s="22">
        <f>YEAR(Tabela135[[#This Row],[Vencimento]])</f>
        <v>2026</v>
      </c>
      <c r="B387" s="23" t="str">
        <f>TEXT(D387,"mmmm")</f>
        <v>junho</v>
      </c>
      <c r="C387" s="23">
        <f>DAY(Tabela135[[#This Row],[Vencimento]])</f>
        <v>20</v>
      </c>
      <c r="D387" s="24">
        <v>46193</v>
      </c>
      <c r="E387" s="33"/>
      <c r="F387" s="34">
        <v>100</v>
      </c>
      <c r="G387" s="35" t="s">
        <v>43</v>
      </c>
      <c r="H387" s="32" t="s">
        <v>44</v>
      </c>
      <c r="I387" s="32" t="s">
        <v>12</v>
      </c>
      <c r="J387" s="28" t="s">
        <v>23</v>
      </c>
      <c r="K387" s="27" t="str" cm="1">
        <f t="array" aca="1" ref="K38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88" spans="1:11" x14ac:dyDescent="0.35">
      <c r="A388" s="22">
        <f>YEAR(Tabela135[[#This Row],[Vencimento]])</f>
        <v>2026</v>
      </c>
      <c r="B388" s="23" t="str">
        <f>TEXT(D388,"mmmm")</f>
        <v>junho</v>
      </c>
      <c r="C388" s="23">
        <f>DAY(Tabela135[[#This Row],[Vencimento]])</f>
        <v>6</v>
      </c>
      <c r="D388" s="24">
        <v>46179</v>
      </c>
      <c r="E388" s="33"/>
      <c r="F388" s="34">
        <v>2500</v>
      </c>
      <c r="G388" s="35" t="s">
        <v>45</v>
      </c>
      <c r="H388" s="32" t="s">
        <v>11</v>
      </c>
      <c r="I388" s="32" t="s">
        <v>12</v>
      </c>
      <c r="J388" s="28" t="s">
        <v>23</v>
      </c>
      <c r="K388" s="27" t="str" cm="1">
        <f t="array" aca="1" ref="K38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89" spans="1:11" x14ac:dyDescent="0.35">
      <c r="A389" s="22">
        <f>YEAR(Tabela135[[#This Row],[Vencimento]])</f>
        <v>2026</v>
      </c>
      <c r="B389" s="23" t="str">
        <f>TEXT(D389,"mmmm")</f>
        <v>junho</v>
      </c>
      <c r="C389" s="23">
        <f>DAY(Tabela135[[#This Row],[Vencimento]])</f>
        <v>20</v>
      </c>
      <c r="D389" s="24">
        <v>46193</v>
      </c>
      <c r="E389" s="33"/>
      <c r="F389" s="34">
        <v>800</v>
      </c>
      <c r="G389" s="35" t="s">
        <v>46</v>
      </c>
      <c r="H389" s="32" t="s">
        <v>47</v>
      </c>
      <c r="I389" s="32" t="s">
        <v>12</v>
      </c>
      <c r="J389" s="28" t="s">
        <v>23</v>
      </c>
      <c r="K389" s="27" t="str" cm="1">
        <f t="array" aca="1" ref="K38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90" spans="1:11" x14ac:dyDescent="0.35">
      <c r="A390" s="22">
        <f>YEAR(Tabela135[[#This Row],[Vencimento]])</f>
        <v>2026</v>
      </c>
      <c r="B390" s="23" t="str">
        <f>TEXT(D390,"mmmm")</f>
        <v>junho</v>
      </c>
      <c r="C390" s="23">
        <f>DAY(Tabela135[[#This Row],[Vencimento]])</f>
        <v>20</v>
      </c>
      <c r="D390" s="24">
        <v>46193</v>
      </c>
      <c r="E390" s="33"/>
      <c r="F390" s="34">
        <v>1000</v>
      </c>
      <c r="G390" s="35" t="s">
        <v>48</v>
      </c>
      <c r="H390" s="32" t="s">
        <v>49</v>
      </c>
      <c r="I390" s="32" t="s">
        <v>12</v>
      </c>
      <c r="J390" s="28" t="s">
        <v>23</v>
      </c>
      <c r="K390" s="27" t="str" cm="1">
        <f t="array" aca="1" ref="K39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91" spans="1:11" x14ac:dyDescent="0.35">
      <c r="A391" s="22">
        <f>YEAR(Tabela135[[#This Row],[Vencimento]])</f>
        <v>2026</v>
      </c>
      <c r="B391" s="23" t="str">
        <f>TEXT(D391,"mmmm")</f>
        <v>junho</v>
      </c>
      <c r="C391" s="23">
        <f>DAY(Tabela135[[#This Row],[Vencimento]])</f>
        <v>20</v>
      </c>
      <c r="D391" s="24">
        <v>46193</v>
      </c>
      <c r="E391" s="33"/>
      <c r="F391" s="34">
        <v>124</v>
      </c>
      <c r="G391" s="35" t="s">
        <v>50</v>
      </c>
      <c r="H391" s="32" t="s">
        <v>42</v>
      </c>
      <c r="I391" s="32" t="s">
        <v>15</v>
      </c>
      <c r="J391" s="28" t="s">
        <v>23</v>
      </c>
      <c r="K391" s="27" t="str" cm="1">
        <f t="array" aca="1" ref="K39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392" spans="1:11" x14ac:dyDescent="0.35">
      <c r="A392" s="26">
        <f>YEAR(Tabela135[[#This Row],[Vencimento]])</f>
        <v>2026</v>
      </c>
      <c r="B392" s="27" t="str">
        <f>TEXT(D392,"mmmm")</f>
        <v>maio</v>
      </c>
      <c r="C392" s="27">
        <f>DAY(Tabela135[[#This Row],[Vencimento]])</f>
        <v>6</v>
      </c>
      <c r="D392" s="24">
        <v>46148</v>
      </c>
      <c r="E392" s="33">
        <v>46148</v>
      </c>
      <c r="F392" s="34">
        <v>160</v>
      </c>
      <c r="G392" s="35" t="s">
        <v>21</v>
      </c>
      <c r="H392" s="39" t="s">
        <v>11</v>
      </c>
      <c r="I392" s="39" t="s">
        <v>12</v>
      </c>
      <c r="J392" s="28" t="s">
        <v>13</v>
      </c>
      <c r="K392" s="28" t="str" cm="1">
        <f t="array" aca="1" ref="K39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93" spans="1:11" x14ac:dyDescent="0.35">
      <c r="A393" s="22">
        <f>YEAR(Tabela135[[#This Row],[Vencimento]])</f>
        <v>2026</v>
      </c>
      <c r="B393" s="23" t="str">
        <f>TEXT(D393,"mmmm")</f>
        <v>maio</v>
      </c>
      <c r="C393" s="23">
        <f>DAY(Tabela135[[#This Row],[Vencimento]])</f>
        <v>6</v>
      </c>
      <c r="D393" s="24">
        <v>46148</v>
      </c>
      <c r="E393" s="33">
        <v>46148</v>
      </c>
      <c r="F393" s="34">
        <v>350</v>
      </c>
      <c r="G393" s="35" t="s">
        <v>10</v>
      </c>
      <c r="H393" s="39" t="s">
        <v>11</v>
      </c>
      <c r="I393" s="39" t="s">
        <v>12</v>
      </c>
      <c r="J393" s="28" t="s">
        <v>13</v>
      </c>
      <c r="K393" s="28" t="str" cm="1">
        <f t="array" aca="1" ref="K39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94" spans="1:11" x14ac:dyDescent="0.35">
      <c r="A394" s="22">
        <f>YEAR(Tabela135[[#This Row],[Vencimento]])</f>
        <v>2026</v>
      </c>
      <c r="B394" s="23" t="str">
        <f>TEXT(D394,"mmmm")</f>
        <v>maio</v>
      </c>
      <c r="C394" s="23">
        <f>DAY(Tabela135[[#This Row],[Vencimento]])</f>
        <v>20</v>
      </c>
      <c r="D394" s="24">
        <v>46162</v>
      </c>
      <c r="E394" s="33">
        <v>46162</v>
      </c>
      <c r="F394" s="34">
        <v>100</v>
      </c>
      <c r="G394" s="35" t="s">
        <v>20</v>
      </c>
      <c r="H394" s="39" t="s">
        <v>11</v>
      </c>
      <c r="I394" s="39" t="s">
        <v>12</v>
      </c>
      <c r="J394" s="28" t="s">
        <v>13</v>
      </c>
      <c r="K394" s="27" t="str" cm="1">
        <f t="array" aca="1" ref="K39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95" spans="1:11" x14ac:dyDescent="0.35">
      <c r="A395" s="22">
        <f>YEAR(Tabela135[[#This Row],[Vencimento]])</f>
        <v>2026</v>
      </c>
      <c r="B395" s="23" t="str">
        <f>TEXT(D395,"mmmm")</f>
        <v>maio</v>
      </c>
      <c r="C395" s="23">
        <f>DAY(Tabela135[[#This Row],[Vencimento]])</f>
        <v>20</v>
      </c>
      <c r="D395" s="24">
        <v>46162</v>
      </c>
      <c r="E395" s="33">
        <v>46162</v>
      </c>
      <c r="F395" s="34">
        <v>937</v>
      </c>
      <c r="G395" s="35" t="s">
        <v>18</v>
      </c>
      <c r="H395" s="32" t="s">
        <v>42</v>
      </c>
      <c r="I395" s="32" t="s">
        <v>15</v>
      </c>
      <c r="J395" s="28" t="s">
        <v>13</v>
      </c>
      <c r="K395" s="27" t="str" cm="1">
        <f t="array" aca="1" ref="K39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96" spans="1:11" x14ac:dyDescent="0.35">
      <c r="A396" s="22">
        <f>YEAR(Tabela135[[#This Row],[Vencimento]])</f>
        <v>2026</v>
      </c>
      <c r="B396" s="23" t="str">
        <f>TEXT(D396,"mmmm")</f>
        <v>maio</v>
      </c>
      <c r="C396" s="23">
        <f>DAY(Tabela135[[#This Row],[Vencimento]])</f>
        <v>20</v>
      </c>
      <c r="D396" s="24">
        <v>46162</v>
      </c>
      <c r="E396" s="33">
        <v>46162</v>
      </c>
      <c r="F396" s="34">
        <v>100</v>
      </c>
      <c r="G396" s="35" t="s">
        <v>43</v>
      </c>
      <c r="H396" s="32" t="s">
        <v>44</v>
      </c>
      <c r="I396" s="32" t="s">
        <v>12</v>
      </c>
      <c r="J396" s="28" t="s">
        <v>13</v>
      </c>
      <c r="K396" s="27" t="str" cm="1">
        <f t="array" aca="1" ref="K39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97" spans="1:11" x14ac:dyDescent="0.35">
      <c r="A397" s="22">
        <f>YEAR(Tabela135[[#This Row],[Vencimento]])</f>
        <v>2026</v>
      </c>
      <c r="B397" s="23" t="str">
        <f>TEXT(D397,"mmmm")</f>
        <v>maio</v>
      </c>
      <c r="C397" s="23">
        <f>DAY(Tabela135[[#This Row],[Vencimento]])</f>
        <v>6</v>
      </c>
      <c r="D397" s="24">
        <v>46148</v>
      </c>
      <c r="E397" s="33">
        <v>46148</v>
      </c>
      <c r="F397" s="34">
        <v>2500</v>
      </c>
      <c r="G397" s="35" t="s">
        <v>45</v>
      </c>
      <c r="H397" s="32" t="s">
        <v>11</v>
      </c>
      <c r="I397" s="32" t="s">
        <v>12</v>
      </c>
      <c r="J397" s="28" t="s">
        <v>13</v>
      </c>
      <c r="K397" s="27" t="str" cm="1">
        <f t="array" aca="1" ref="K39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98" spans="1:11" x14ac:dyDescent="0.35">
      <c r="A398" s="22">
        <f>YEAR(Tabela135[[#This Row],[Vencimento]])</f>
        <v>2026</v>
      </c>
      <c r="B398" s="23" t="str">
        <f>TEXT(D398,"mmmm")</f>
        <v>maio</v>
      </c>
      <c r="C398" s="23">
        <f>DAY(Tabela135[[#This Row],[Vencimento]])</f>
        <v>20</v>
      </c>
      <c r="D398" s="24">
        <v>46162</v>
      </c>
      <c r="E398" s="33">
        <v>46162</v>
      </c>
      <c r="F398" s="34">
        <v>800</v>
      </c>
      <c r="G398" s="35" t="s">
        <v>46</v>
      </c>
      <c r="H398" s="32" t="s">
        <v>47</v>
      </c>
      <c r="I398" s="32" t="s">
        <v>12</v>
      </c>
      <c r="J398" s="28" t="s">
        <v>13</v>
      </c>
      <c r="K398" s="27" t="str" cm="1">
        <f t="array" aca="1" ref="K39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399" spans="1:11" x14ac:dyDescent="0.35">
      <c r="A399" s="22">
        <f>YEAR(Tabela135[[#This Row],[Vencimento]])</f>
        <v>2026</v>
      </c>
      <c r="B399" s="23" t="str">
        <f>TEXT(D399,"mmmm")</f>
        <v>maio</v>
      </c>
      <c r="C399" s="23">
        <f>DAY(Tabela135[[#This Row],[Vencimento]])</f>
        <v>20</v>
      </c>
      <c r="D399" s="24">
        <v>46162</v>
      </c>
      <c r="E399" s="33">
        <v>46162</v>
      </c>
      <c r="F399" s="34">
        <v>1000</v>
      </c>
      <c r="G399" s="35" t="s">
        <v>48</v>
      </c>
      <c r="H399" s="32" t="s">
        <v>49</v>
      </c>
      <c r="I399" s="32" t="s">
        <v>12</v>
      </c>
      <c r="J399" s="28" t="s">
        <v>13</v>
      </c>
      <c r="K399" s="27" t="str" cm="1">
        <f t="array" aca="1" ref="K39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00" spans="1:11" x14ac:dyDescent="0.35">
      <c r="A400" s="22">
        <f>YEAR(Tabela135[[#This Row],[Vencimento]])</f>
        <v>2026</v>
      </c>
      <c r="B400" s="23" t="str">
        <f>TEXT(D400,"mmmm")</f>
        <v>maio</v>
      </c>
      <c r="C400" s="23">
        <f>DAY(Tabela135[[#This Row],[Vencimento]])</f>
        <v>20</v>
      </c>
      <c r="D400" s="24">
        <v>46162</v>
      </c>
      <c r="E400" s="33">
        <v>46162</v>
      </c>
      <c r="F400" s="34">
        <v>145</v>
      </c>
      <c r="G400" s="35" t="s">
        <v>50</v>
      </c>
      <c r="H400" s="32" t="s">
        <v>42</v>
      </c>
      <c r="I400" s="32" t="s">
        <v>15</v>
      </c>
      <c r="J400" s="28" t="s">
        <v>13</v>
      </c>
      <c r="K400" s="27" t="str" cm="1">
        <f t="array" aca="1" ref="K40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01" spans="1:11" x14ac:dyDescent="0.35">
      <c r="A401" s="22">
        <f>YEAR(Tabela135[[#This Row],[Vencimento]])</f>
        <v>2026</v>
      </c>
      <c r="B401" s="23" t="str">
        <f>TEXT(D401,"mmmm")</f>
        <v>maio</v>
      </c>
      <c r="C401" s="23">
        <f>DAY(Tabela135[[#This Row],[Vencimento]])</f>
        <v>20</v>
      </c>
      <c r="D401" s="24">
        <v>46162</v>
      </c>
      <c r="E401" s="33">
        <v>46162</v>
      </c>
      <c r="F401" s="34">
        <v>145</v>
      </c>
      <c r="G401" s="35" t="s">
        <v>51</v>
      </c>
      <c r="H401" s="32" t="s">
        <v>52</v>
      </c>
      <c r="I401" s="32" t="s">
        <v>15</v>
      </c>
      <c r="J401" s="28" t="s">
        <v>13</v>
      </c>
      <c r="K401" s="27" t="str" cm="1">
        <f t="array" aca="1" ref="K40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02" spans="1:11" x14ac:dyDescent="0.35">
      <c r="A402" s="26">
        <f>YEAR(Tabela135[[#This Row],[Vencimento]])</f>
        <v>2026</v>
      </c>
      <c r="B402" s="27" t="str">
        <f>TEXT(D402,"mmmm")</f>
        <v>março</v>
      </c>
      <c r="C402" s="27">
        <f>DAY(Tabela135[[#This Row],[Vencimento]])</f>
        <v>6</v>
      </c>
      <c r="D402" s="24">
        <v>46087</v>
      </c>
      <c r="E402" s="33">
        <v>46106</v>
      </c>
      <c r="F402" s="34">
        <v>160</v>
      </c>
      <c r="G402" s="35" t="s">
        <v>21</v>
      </c>
      <c r="H402" s="39" t="s">
        <v>11</v>
      </c>
      <c r="I402" s="39" t="s">
        <v>12</v>
      </c>
      <c r="J402" s="28" t="s">
        <v>13</v>
      </c>
      <c r="K402" s="28" t="str" cm="1">
        <f t="array" aca="1" ref="K40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403" spans="1:11" x14ac:dyDescent="0.35">
      <c r="A403" s="22">
        <f>YEAR(Tabela135[[#This Row],[Vencimento]])</f>
        <v>2026</v>
      </c>
      <c r="B403" s="23" t="str">
        <f>TEXT(D403,"mmmm")</f>
        <v>março</v>
      </c>
      <c r="C403" s="23">
        <f>DAY(Tabela135[[#This Row],[Vencimento]])</f>
        <v>6</v>
      </c>
      <c r="D403" s="24">
        <v>46087</v>
      </c>
      <c r="E403" s="33">
        <v>46106</v>
      </c>
      <c r="F403" s="34">
        <v>350</v>
      </c>
      <c r="G403" s="35" t="s">
        <v>10</v>
      </c>
      <c r="H403" s="39" t="s">
        <v>11</v>
      </c>
      <c r="I403" s="39" t="s">
        <v>12</v>
      </c>
      <c r="J403" s="28" t="s">
        <v>13</v>
      </c>
      <c r="K403" s="28" t="str" cm="1">
        <f t="array" aca="1" ref="K40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404" spans="1:11" x14ac:dyDescent="0.35">
      <c r="A404" s="22">
        <f>YEAR(Tabela135[[#This Row],[Vencimento]])</f>
        <v>2026</v>
      </c>
      <c r="B404" s="23" t="str">
        <f>TEXT(D404,"mmmm")</f>
        <v>março</v>
      </c>
      <c r="C404" s="23">
        <f>DAY(Tabela135[[#This Row],[Vencimento]])</f>
        <v>20</v>
      </c>
      <c r="D404" s="24">
        <v>46101</v>
      </c>
      <c r="E404" s="33">
        <v>46106</v>
      </c>
      <c r="F404" s="34">
        <v>100</v>
      </c>
      <c r="G404" s="35" t="s">
        <v>20</v>
      </c>
      <c r="H404" s="39" t="s">
        <v>11</v>
      </c>
      <c r="I404" s="39" t="s">
        <v>12</v>
      </c>
      <c r="J404" s="28" t="s">
        <v>13</v>
      </c>
      <c r="K404" s="27" t="str" cm="1">
        <f t="array" aca="1" ref="K40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405" spans="1:11" x14ac:dyDescent="0.35">
      <c r="A405" s="22">
        <f>YEAR(Tabela135[[#This Row],[Vencimento]])</f>
        <v>2026</v>
      </c>
      <c r="B405" s="23" t="str">
        <f>TEXT(D405,"mmmm")</f>
        <v>março</v>
      </c>
      <c r="C405" s="23">
        <f>DAY(Tabela135[[#This Row],[Vencimento]])</f>
        <v>20</v>
      </c>
      <c r="D405" s="24">
        <v>46101</v>
      </c>
      <c r="E405" s="33">
        <v>46106</v>
      </c>
      <c r="F405" s="34">
        <v>368</v>
      </c>
      <c r="G405" s="35" t="s">
        <v>18</v>
      </c>
      <c r="H405" s="32" t="s">
        <v>42</v>
      </c>
      <c r="I405" s="32" t="s">
        <v>15</v>
      </c>
      <c r="J405" s="28" t="s">
        <v>13</v>
      </c>
      <c r="K405" s="27" t="str" cm="1">
        <f t="array" aca="1" ref="K40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406" spans="1:11" x14ac:dyDescent="0.35">
      <c r="A406" s="22">
        <f>YEAR(Tabela135[[#This Row],[Vencimento]])</f>
        <v>2026</v>
      </c>
      <c r="B406" s="23" t="str">
        <f>TEXT(D406,"mmmm")</f>
        <v>março</v>
      </c>
      <c r="C406" s="23">
        <f>DAY(Tabela135[[#This Row],[Vencimento]])</f>
        <v>20</v>
      </c>
      <c r="D406" s="24">
        <v>46101</v>
      </c>
      <c r="E406" s="33">
        <v>46106</v>
      </c>
      <c r="F406" s="34">
        <v>100</v>
      </c>
      <c r="G406" s="35" t="s">
        <v>43</v>
      </c>
      <c r="H406" s="32" t="s">
        <v>44</v>
      </c>
      <c r="I406" s="32" t="s">
        <v>12</v>
      </c>
      <c r="J406" s="28" t="s">
        <v>13</v>
      </c>
      <c r="K406" s="27" t="str" cm="1">
        <f t="array" aca="1" ref="K40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407" spans="1:11" x14ac:dyDescent="0.35">
      <c r="A407" s="22">
        <f>YEAR(Tabela135[[#This Row],[Vencimento]])</f>
        <v>2026</v>
      </c>
      <c r="B407" s="23" t="str">
        <f>TEXT(D407,"mmmm")</f>
        <v>março</v>
      </c>
      <c r="C407" s="23">
        <f>DAY(Tabela135[[#This Row],[Vencimento]])</f>
        <v>6</v>
      </c>
      <c r="D407" s="24">
        <v>46087</v>
      </c>
      <c r="E407" s="33">
        <v>46085</v>
      </c>
      <c r="F407" s="34">
        <v>2500</v>
      </c>
      <c r="G407" s="35" t="s">
        <v>45</v>
      </c>
      <c r="H407" s="32" t="s">
        <v>11</v>
      </c>
      <c r="I407" s="32" t="s">
        <v>12</v>
      </c>
      <c r="J407" s="28" t="s">
        <v>13</v>
      </c>
      <c r="K407" s="27" t="str" cm="1">
        <f t="array" aca="1" ref="K40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08" spans="1:11" x14ac:dyDescent="0.35">
      <c r="A408" s="22">
        <f>YEAR(Tabela135[[#This Row],[Vencimento]])</f>
        <v>2026</v>
      </c>
      <c r="B408" s="23" t="str">
        <f>TEXT(D408,"mmmm")</f>
        <v>março</v>
      </c>
      <c r="C408" s="23">
        <f>DAY(Tabela135[[#This Row],[Vencimento]])</f>
        <v>20</v>
      </c>
      <c r="D408" s="24">
        <v>46101</v>
      </c>
      <c r="E408" s="33">
        <v>46106</v>
      </c>
      <c r="F408" s="34">
        <v>800</v>
      </c>
      <c r="G408" s="35" t="s">
        <v>46</v>
      </c>
      <c r="H408" s="32" t="s">
        <v>47</v>
      </c>
      <c r="I408" s="32" t="s">
        <v>12</v>
      </c>
      <c r="J408" s="28" t="s">
        <v>13</v>
      </c>
      <c r="K408" s="27" t="str" cm="1">
        <f t="array" aca="1" ref="K40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409" spans="1:11" x14ac:dyDescent="0.35">
      <c r="A409" s="22">
        <f>YEAR(Tabela135[[#This Row],[Vencimento]])</f>
        <v>2026</v>
      </c>
      <c r="B409" s="23" t="str">
        <f>TEXT(D409,"mmmm")</f>
        <v>março</v>
      </c>
      <c r="C409" s="23">
        <f>DAY(Tabela135[[#This Row],[Vencimento]])</f>
        <v>20</v>
      </c>
      <c r="D409" s="24">
        <v>46101</v>
      </c>
      <c r="E409" s="33">
        <v>46106</v>
      </c>
      <c r="F409" s="34">
        <v>1000</v>
      </c>
      <c r="G409" s="35" t="s">
        <v>48</v>
      </c>
      <c r="H409" s="32" t="s">
        <v>49</v>
      </c>
      <c r="I409" s="32" t="s">
        <v>12</v>
      </c>
      <c r="J409" s="28" t="s">
        <v>13</v>
      </c>
      <c r="K409" s="27" t="str" cm="1">
        <f t="array" aca="1" ref="K40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410" spans="1:11" x14ac:dyDescent="0.35">
      <c r="A410" s="22">
        <f>YEAR(Tabela135[[#This Row],[Vencimento]])</f>
        <v>2026</v>
      </c>
      <c r="B410" s="23" t="str">
        <f>TEXT(D410,"mmmm")</f>
        <v>março</v>
      </c>
      <c r="C410" s="23">
        <f>DAY(Tabela135[[#This Row],[Vencimento]])</f>
        <v>20</v>
      </c>
      <c r="D410" s="24">
        <v>46101</v>
      </c>
      <c r="E410" s="33">
        <v>46106</v>
      </c>
      <c r="F410" s="34">
        <v>445</v>
      </c>
      <c r="G410" s="35" t="s">
        <v>50</v>
      </c>
      <c r="H410" s="32" t="s">
        <v>42</v>
      </c>
      <c r="I410" s="32" t="s">
        <v>15</v>
      </c>
      <c r="J410" s="28" t="s">
        <v>13</v>
      </c>
      <c r="K410" s="27" t="str" cm="1">
        <f t="array" aca="1" ref="K41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Pago com Atraso</v>
      </c>
    </row>
    <row r="411" spans="1:11" x14ac:dyDescent="0.35">
      <c r="A411" s="22">
        <f>YEAR(Tabela135[[#This Row],[Vencimento]])</f>
        <v>2026</v>
      </c>
      <c r="B411" s="23" t="str">
        <f>TEXT(D411,"mmmm")</f>
        <v>março</v>
      </c>
      <c r="C411" s="23">
        <f>DAY(Tabela135[[#This Row],[Vencimento]])</f>
        <v>20</v>
      </c>
      <c r="D411" s="24">
        <v>46101</v>
      </c>
      <c r="E411" s="33">
        <v>46100</v>
      </c>
      <c r="F411" s="34">
        <v>98</v>
      </c>
      <c r="G411" s="35" t="s">
        <v>51</v>
      </c>
      <c r="H411" s="32" t="s">
        <v>52</v>
      </c>
      <c r="I411" s="32" t="s">
        <v>15</v>
      </c>
      <c r="J411" s="28" t="s">
        <v>13</v>
      </c>
      <c r="K411" s="27" t="str" cm="1">
        <f t="array" aca="1" ref="K41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dia</v>
      </c>
    </row>
    <row r="412" spans="1:11" x14ac:dyDescent="0.35">
      <c r="A412" s="26">
        <f>YEAR(Tabela135[[#This Row],[Vencimento]])</f>
        <v>2026</v>
      </c>
      <c r="B412" s="27" t="str">
        <f>TEXT(D412,"mmmm")</f>
        <v>novembro</v>
      </c>
      <c r="C412" s="27">
        <f>DAY(Tabela135[[#This Row],[Vencimento]])</f>
        <v>6</v>
      </c>
      <c r="D412" s="24">
        <v>46332</v>
      </c>
      <c r="E412" s="33"/>
      <c r="F412" s="34">
        <v>160</v>
      </c>
      <c r="G412" s="35" t="s">
        <v>21</v>
      </c>
      <c r="H412" s="39" t="s">
        <v>11</v>
      </c>
      <c r="I412" s="39" t="s">
        <v>12</v>
      </c>
      <c r="J412" s="28" t="s">
        <v>23</v>
      </c>
      <c r="K412" s="28" t="str" cm="1">
        <f t="array" aca="1" ref="K41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13" spans="1:11" x14ac:dyDescent="0.35">
      <c r="A413" s="22">
        <f>YEAR(Tabela135[[#This Row],[Vencimento]])</f>
        <v>2026</v>
      </c>
      <c r="B413" s="23" t="str">
        <f>TEXT(D413,"mmmm")</f>
        <v>novembro</v>
      </c>
      <c r="C413" s="23">
        <f>DAY(Tabela135[[#This Row],[Vencimento]])</f>
        <v>6</v>
      </c>
      <c r="D413" s="24">
        <v>46332</v>
      </c>
      <c r="E413" s="33"/>
      <c r="F413" s="34">
        <v>350</v>
      </c>
      <c r="G413" s="35" t="s">
        <v>10</v>
      </c>
      <c r="H413" s="39" t="s">
        <v>11</v>
      </c>
      <c r="I413" s="39" t="s">
        <v>12</v>
      </c>
      <c r="J413" s="28" t="s">
        <v>23</v>
      </c>
      <c r="K413" s="28" t="str" cm="1">
        <f t="array" aca="1" ref="K41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14" spans="1:11" x14ac:dyDescent="0.35">
      <c r="A414" s="22">
        <f>YEAR(Tabela135[[#This Row],[Vencimento]])</f>
        <v>2026</v>
      </c>
      <c r="B414" s="23" t="str">
        <f>TEXT(D414,"mmmm")</f>
        <v>novembro</v>
      </c>
      <c r="C414" s="23">
        <f>DAY(Tabela135[[#This Row],[Vencimento]])</f>
        <v>20</v>
      </c>
      <c r="D414" s="24">
        <v>46346</v>
      </c>
      <c r="E414" s="33"/>
      <c r="F414" s="34">
        <v>100</v>
      </c>
      <c r="G414" s="35" t="s">
        <v>20</v>
      </c>
      <c r="H414" s="39" t="s">
        <v>11</v>
      </c>
      <c r="I414" s="39" t="s">
        <v>12</v>
      </c>
      <c r="J414" s="28" t="s">
        <v>23</v>
      </c>
      <c r="K414" s="27" t="str" cm="1">
        <f t="array" aca="1" ref="K41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15" spans="1:11" x14ac:dyDescent="0.35">
      <c r="A415" s="22">
        <f>YEAR(Tabela135[[#This Row],[Vencimento]])</f>
        <v>2026</v>
      </c>
      <c r="B415" s="23" t="str">
        <f>TEXT(D415,"mmmm")</f>
        <v>novembro</v>
      </c>
      <c r="C415" s="23">
        <f>DAY(Tabela135[[#This Row],[Vencimento]])</f>
        <v>20</v>
      </c>
      <c r="D415" s="24">
        <v>46346</v>
      </c>
      <c r="E415" s="33"/>
      <c r="F415" s="34">
        <v>54</v>
      </c>
      <c r="G415" s="35" t="s">
        <v>18</v>
      </c>
      <c r="H415" s="32" t="s">
        <v>42</v>
      </c>
      <c r="I415" s="32" t="s">
        <v>15</v>
      </c>
      <c r="J415" s="28" t="s">
        <v>23</v>
      </c>
      <c r="K415" s="27" t="str" cm="1">
        <f t="array" aca="1" ref="K41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16" spans="1:11" x14ac:dyDescent="0.35">
      <c r="A416" s="22">
        <f>YEAR(Tabela135[[#This Row],[Vencimento]])</f>
        <v>2026</v>
      </c>
      <c r="B416" s="23" t="str">
        <f>TEXT(D416,"mmmm")</f>
        <v>novembro</v>
      </c>
      <c r="C416" s="23">
        <f>DAY(Tabela135[[#This Row],[Vencimento]])</f>
        <v>20</v>
      </c>
      <c r="D416" s="24">
        <v>46346</v>
      </c>
      <c r="E416" s="33"/>
      <c r="F416" s="34">
        <v>100</v>
      </c>
      <c r="G416" s="35" t="s">
        <v>43</v>
      </c>
      <c r="H416" s="32" t="s">
        <v>44</v>
      </c>
      <c r="I416" s="32" t="s">
        <v>12</v>
      </c>
      <c r="J416" s="28" t="s">
        <v>23</v>
      </c>
      <c r="K416" s="27" t="str" cm="1">
        <f t="array" aca="1" ref="K41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17" spans="1:11" x14ac:dyDescent="0.35">
      <c r="A417" s="22">
        <f>YEAR(Tabela135[[#This Row],[Vencimento]])</f>
        <v>2026</v>
      </c>
      <c r="B417" s="23" t="str">
        <f>TEXT(D417,"mmmm")</f>
        <v>novembro</v>
      </c>
      <c r="C417" s="23">
        <f>DAY(Tabela135[[#This Row],[Vencimento]])</f>
        <v>6</v>
      </c>
      <c r="D417" s="24">
        <v>46332</v>
      </c>
      <c r="E417" s="33"/>
      <c r="F417" s="34">
        <v>2500</v>
      </c>
      <c r="G417" s="35" t="s">
        <v>45</v>
      </c>
      <c r="H417" s="32" t="s">
        <v>11</v>
      </c>
      <c r="I417" s="32" t="s">
        <v>12</v>
      </c>
      <c r="J417" s="28" t="s">
        <v>23</v>
      </c>
      <c r="K417" s="27" t="str" cm="1">
        <f t="array" aca="1" ref="K41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18" spans="1:11" x14ac:dyDescent="0.35">
      <c r="A418" s="22">
        <f>YEAR(Tabela135[[#This Row],[Vencimento]])</f>
        <v>2026</v>
      </c>
      <c r="B418" s="23" t="str">
        <f>TEXT(D418,"mmmm")</f>
        <v>novembro</v>
      </c>
      <c r="C418" s="23">
        <f>DAY(Tabela135[[#This Row],[Vencimento]])</f>
        <v>20</v>
      </c>
      <c r="D418" s="24">
        <v>46346</v>
      </c>
      <c r="E418" s="33"/>
      <c r="F418" s="34">
        <v>800</v>
      </c>
      <c r="G418" s="35" t="s">
        <v>46</v>
      </c>
      <c r="H418" s="32" t="s">
        <v>47</v>
      </c>
      <c r="I418" s="32" t="s">
        <v>12</v>
      </c>
      <c r="J418" s="28" t="s">
        <v>23</v>
      </c>
      <c r="K418" s="27" t="str" cm="1">
        <f t="array" aca="1" ref="K41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19" spans="1:11" x14ac:dyDescent="0.35">
      <c r="A419" s="22">
        <f>YEAR(Tabela135[[#This Row],[Vencimento]])</f>
        <v>2026</v>
      </c>
      <c r="B419" s="23" t="str">
        <f>TEXT(D419,"mmmm")</f>
        <v>novembro</v>
      </c>
      <c r="C419" s="23">
        <f>DAY(Tabela135[[#This Row],[Vencimento]])</f>
        <v>20</v>
      </c>
      <c r="D419" s="24">
        <v>46346</v>
      </c>
      <c r="E419" s="33"/>
      <c r="F419" s="34">
        <v>1000</v>
      </c>
      <c r="G419" s="35" t="s">
        <v>48</v>
      </c>
      <c r="H419" s="32" t="s">
        <v>49</v>
      </c>
      <c r="I419" s="32" t="s">
        <v>12</v>
      </c>
      <c r="J419" s="28" t="s">
        <v>23</v>
      </c>
      <c r="K419" s="27" t="str" cm="1">
        <f t="array" aca="1" ref="K41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20" spans="1:11" x14ac:dyDescent="0.35">
      <c r="A420" s="22">
        <f>YEAR(Tabela135[[#This Row],[Vencimento]])</f>
        <v>2026</v>
      </c>
      <c r="B420" s="23" t="str">
        <f>TEXT(D420,"mmmm")</f>
        <v>novembro</v>
      </c>
      <c r="C420" s="23">
        <f>DAY(Tabela135[[#This Row],[Vencimento]])</f>
        <v>20</v>
      </c>
      <c r="D420" s="24">
        <v>46346</v>
      </c>
      <c r="E420" s="33"/>
      <c r="F420" s="34">
        <v>22</v>
      </c>
      <c r="G420" s="35" t="s">
        <v>50</v>
      </c>
      <c r="H420" s="32" t="s">
        <v>42</v>
      </c>
      <c r="I420" s="32" t="s">
        <v>15</v>
      </c>
      <c r="J420" s="28" t="s">
        <v>23</v>
      </c>
      <c r="K420" s="27" t="str" cm="1">
        <f t="array" aca="1" ref="K42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21" spans="1:11" x14ac:dyDescent="0.35">
      <c r="A421" s="26">
        <f>YEAR(Tabela135[[#This Row],[Vencimento]])</f>
        <v>2026</v>
      </c>
      <c r="B421" s="27" t="str">
        <f>TEXT(D421,"mmmm")</f>
        <v>outubro</v>
      </c>
      <c r="C421" s="27">
        <f>DAY(Tabela135[[#This Row],[Vencimento]])</f>
        <v>6</v>
      </c>
      <c r="D421" s="24">
        <v>46301</v>
      </c>
      <c r="E421" s="33"/>
      <c r="F421" s="34">
        <v>160</v>
      </c>
      <c r="G421" s="35" t="s">
        <v>21</v>
      </c>
      <c r="H421" s="39" t="s">
        <v>11</v>
      </c>
      <c r="I421" s="39" t="s">
        <v>12</v>
      </c>
      <c r="J421" s="28" t="s">
        <v>23</v>
      </c>
      <c r="K421" s="28" t="str" cm="1">
        <f t="array" aca="1" ref="K42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22" spans="1:11" x14ac:dyDescent="0.35">
      <c r="A422" s="22">
        <f>YEAR(Tabela135[[#This Row],[Vencimento]])</f>
        <v>2026</v>
      </c>
      <c r="B422" s="23" t="str">
        <f>TEXT(D422,"mmmm")</f>
        <v>outubro</v>
      </c>
      <c r="C422" s="23">
        <f>DAY(Tabela135[[#This Row],[Vencimento]])</f>
        <v>6</v>
      </c>
      <c r="D422" s="24">
        <v>46301</v>
      </c>
      <c r="E422" s="33"/>
      <c r="F422" s="34">
        <v>350</v>
      </c>
      <c r="G422" s="35" t="s">
        <v>10</v>
      </c>
      <c r="H422" s="39" t="s">
        <v>11</v>
      </c>
      <c r="I422" s="39" t="s">
        <v>12</v>
      </c>
      <c r="J422" s="28" t="s">
        <v>23</v>
      </c>
      <c r="K422" s="28" t="str" cm="1">
        <f t="array" aca="1" ref="K42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23" spans="1:11" x14ac:dyDescent="0.35">
      <c r="A423" s="22">
        <f>YEAR(Tabela135[[#This Row],[Vencimento]])</f>
        <v>2026</v>
      </c>
      <c r="B423" s="23" t="str">
        <f>TEXT(D423,"mmmm")</f>
        <v>outubro</v>
      </c>
      <c r="C423" s="23">
        <f>DAY(Tabela135[[#This Row],[Vencimento]])</f>
        <v>20</v>
      </c>
      <c r="D423" s="24">
        <v>46315</v>
      </c>
      <c r="E423" s="33"/>
      <c r="F423" s="34">
        <v>100</v>
      </c>
      <c r="G423" s="35" t="s">
        <v>20</v>
      </c>
      <c r="H423" s="39" t="s">
        <v>11</v>
      </c>
      <c r="I423" s="39" t="s">
        <v>12</v>
      </c>
      <c r="J423" s="28" t="s">
        <v>23</v>
      </c>
      <c r="K423" s="27" t="str" cm="1">
        <f t="array" aca="1" ref="K42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24" spans="1:11" x14ac:dyDescent="0.35">
      <c r="A424" s="22">
        <f>YEAR(Tabela135[[#This Row],[Vencimento]])</f>
        <v>2026</v>
      </c>
      <c r="B424" s="23" t="str">
        <f>TEXT(D424,"mmmm")</f>
        <v>outubro</v>
      </c>
      <c r="C424" s="23">
        <f>DAY(Tabela135[[#This Row],[Vencimento]])</f>
        <v>20</v>
      </c>
      <c r="D424" s="24">
        <v>46315</v>
      </c>
      <c r="E424" s="33"/>
      <c r="F424" s="34">
        <v>97</v>
      </c>
      <c r="G424" s="35" t="s">
        <v>18</v>
      </c>
      <c r="H424" s="32" t="s">
        <v>42</v>
      </c>
      <c r="I424" s="32" t="s">
        <v>15</v>
      </c>
      <c r="J424" s="28" t="s">
        <v>23</v>
      </c>
      <c r="K424" s="27" t="str" cm="1">
        <f t="array" aca="1" ref="K42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25" spans="1:11" x14ac:dyDescent="0.35">
      <c r="A425" s="22">
        <f>YEAR(Tabela135[[#This Row],[Vencimento]])</f>
        <v>2026</v>
      </c>
      <c r="B425" s="23" t="str">
        <f>TEXT(D425,"mmmm")</f>
        <v>outubro</v>
      </c>
      <c r="C425" s="23">
        <f>DAY(Tabela135[[#This Row],[Vencimento]])</f>
        <v>20</v>
      </c>
      <c r="D425" s="24">
        <v>46315</v>
      </c>
      <c r="E425" s="33"/>
      <c r="F425" s="34">
        <v>100</v>
      </c>
      <c r="G425" s="35" t="s">
        <v>43</v>
      </c>
      <c r="H425" s="32" t="s">
        <v>44</v>
      </c>
      <c r="I425" s="32" t="s">
        <v>12</v>
      </c>
      <c r="J425" s="28" t="s">
        <v>23</v>
      </c>
      <c r="K425" s="27" t="str" cm="1">
        <f t="array" aca="1" ref="K42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26" spans="1:11" x14ac:dyDescent="0.35">
      <c r="A426" s="22">
        <f>YEAR(Tabela135[[#This Row],[Vencimento]])</f>
        <v>2026</v>
      </c>
      <c r="B426" s="23" t="str">
        <f>TEXT(D426,"mmmm")</f>
        <v>outubro</v>
      </c>
      <c r="C426" s="23">
        <f>DAY(Tabela135[[#This Row],[Vencimento]])</f>
        <v>6</v>
      </c>
      <c r="D426" s="24">
        <v>46301</v>
      </c>
      <c r="E426" s="33"/>
      <c r="F426" s="34">
        <v>2500</v>
      </c>
      <c r="G426" s="35" t="s">
        <v>45</v>
      </c>
      <c r="H426" s="32" t="s">
        <v>11</v>
      </c>
      <c r="I426" s="32" t="s">
        <v>12</v>
      </c>
      <c r="J426" s="28" t="s">
        <v>23</v>
      </c>
      <c r="K426" s="27" t="str" cm="1">
        <f t="array" aca="1" ref="K42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27" spans="1:11" x14ac:dyDescent="0.35">
      <c r="A427" s="22">
        <f>YEAR(Tabela135[[#This Row],[Vencimento]])</f>
        <v>2026</v>
      </c>
      <c r="B427" s="23" t="str">
        <f>TEXT(D427,"mmmm")</f>
        <v>outubro</v>
      </c>
      <c r="C427" s="23">
        <f>DAY(Tabela135[[#This Row],[Vencimento]])</f>
        <v>20</v>
      </c>
      <c r="D427" s="24">
        <v>46315</v>
      </c>
      <c r="E427" s="33"/>
      <c r="F427" s="34">
        <v>800</v>
      </c>
      <c r="G427" s="35" t="s">
        <v>46</v>
      </c>
      <c r="H427" s="32" t="s">
        <v>47</v>
      </c>
      <c r="I427" s="32" t="s">
        <v>12</v>
      </c>
      <c r="J427" s="28" t="s">
        <v>23</v>
      </c>
      <c r="K427" s="27" t="str" cm="1">
        <f t="array" aca="1" ref="K42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28" spans="1:11" x14ac:dyDescent="0.35">
      <c r="A428" s="22">
        <f>YEAR(Tabela135[[#This Row],[Vencimento]])</f>
        <v>2026</v>
      </c>
      <c r="B428" s="23" t="str">
        <f>TEXT(D428,"mmmm")</f>
        <v>outubro</v>
      </c>
      <c r="C428" s="23">
        <f>DAY(Tabela135[[#This Row],[Vencimento]])</f>
        <v>20</v>
      </c>
      <c r="D428" s="24">
        <v>46315</v>
      </c>
      <c r="E428" s="33"/>
      <c r="F428" s="34">
        <v>1000</v>
      </c>
      <c r="G428" s="35" t="s">
        <v>48</v>
      </c>
      <c r="H428" s="32" t="s">
        <v>49</v>
      </c>
      <c r="I428" s="32" t="s">
        <v>12</v>
      </c>
      <c r="J428" s="28" t="s">
        <v>23</v>
      </c>
      <c r="K428" s="27" t="str" cm="1">
        <f t="array" aca="1" ref="K42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29" spans="1:11" x14ac:dyDescent="0.35">
      <c r="A429" s="22">
        <f>YEAR(Tabela135[[#This Row],[Vencimento]])</f>
        <v>2026</v>
      </c>
      <c r="B429" s="23" t="str">
        <f>TEXT(D429,"mmmm")</f>
        <v>outubro</v>
      </c>
      <c r="C429" s="23">
        <f>DAY(Tabela135[[#This Row],[Vencimento]])</f>
        <v>20</v>
      </c>
      <c r="D429" s="24">
        <v>46315</v>
      </c>
      <c r="E429" s="33"/>
      <c r="F429" s="34">
        <v>23</v>
      </c>
      <c r="G429" s="35" t="s">
        <v>50</v>
      </c>
      <c r="H429" s="32" t="s">
        <v>42</v>
      </c>
      <c r="I429" s="32" t="s">
        <v>15</v>
      </c>
      <c r="J429" s="28" t="s">
        <v>23</v>
      </c>
      <c r="K429" s="27" t="str" cm="1">
        <f t="array" aca="1" ref="K429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30" spans="1:11" x14ac:dyDescent="0.35">
      <c r="A430" s="26">
        <f>YEAR(Tabela135[[#This Row],[Vencimento]])</f>
        <v>2026</v>
      </c>
      <c r="B430" s="27" t="str">
        <f>TEXT(D430,"mmmm")</f>
        <v>setembro</v>
      </c>
      <c r="C430" s="27">
        <f>DAY(Tabela135[[#This Row],[Vencimento]])</f>
        <v>6</v>
      </c>
      <c r="D430" s="24">
        <v>46271</v>
      </c>
      <c r="E430" s="33"/>
      <c r="F430" s="34">
        <v>160</v>
      </c>
      <c r="G430" s="35" t="s">
        <v>21</v>
      </c>
      <c r="H430" s="39" t="s">
        <v>11</v>
      </c>
      <c r="I430" s="39" t="s">
        <v>12</v>
      </c>
      <c r="J430" s="28" t="s">
        <v>23</v>
      </c>
      <c r="K430" s="28" t="str" cm="1">
        <f t="array" aca="1" ref="K430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31" spans="1:11" x14ac:dyDescent="0.35">
      <c r="A431" s="22">
        <f>YEAR(Tabela135[[#This Row],[Vencimento]])</f>
        <v>2026</v>
      </c>
      <c r="B431" s="23" t="str">
        <f>TEXT(D431,"mmmm")</f>
        <v>setembro</v>
      </c>
      <c r="C431" s="23">
        <f>DAY(Tabela135[[#This Row],[Vencimento]])</f>
        <v>6</v>
      </c>
      <c r="D431" s="24">
        <v>46271</v>
      </c>
      <c r="E431" s="33"/>
      <c r="F431" s="34">
        <v>350</v>
      </c>
      <c r="G431" s="35" t="s">
        <v>10</v>
      </c>
      <c r="H431" s="39" t="s">
        <v>11</v>
      </c>
      <c r="I431" s="39" t="s">
        <v>12</v>
      </c>
      <c r="J431" s="28" t="s">
        <v>23</v>
      </c>
      <c r="K431" s="28" t="str" cm="1">
        <f t="array" aca="1" ref="K431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32" spans="1:11" x14ac:dyDescent="0.35">
      <c r="A432" s="22">
        <f>YEAR(Tabela135[[#This Row],[Vencimento]])</f>
        <v>2026</v>
      </c>
      <c r="B432" s="23" t="str">
        <f>TEXT(D432,"mmmm")</f>
        <v>setembro</v>
      </c>
      <c r="C432" s="23">
        <f>DAY(Tabela135[[#This Row],[Vencimento]])</f>
        <v>20</v>
      </c>
      <c r="D432" s="24">
        <v>46285</v>
      </c>
      <c r="E432" s="33"/>
      <c r="F432" s="34">
        <v>100</v>
      </c>
      <c r="G432" s="35" t="s">
        <v>20</v>
      </c>
      <c r="H432" s="39" t="s">
        <v>11</v>
      </c>
      <c r="I432" s="39" t="s">
        <v>12</v>
      </c>
      <c r="J432" s="28" t="s">
        <v>23</v>
      </c>
      <c r="K432" s="27" t="str" cm="1">
        <f t="array" aca="1" ref="K432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33" spans="1:11" x14ac:dyDescent="0.35">
      <c r="A433" s="42">
        <f>YEAR(Tabela135[[#This Row],[Vencimento]])</f>
        <v>2026</v>
      </c>
      <c r="B433" s="25" t="str">
        <f>TEXT(D433,"mmmm")</f>
        <v>setembro</v>
      </c>
      <c r="C433" s="25">
        <f>DAY(Tabela135[[#This Row],[Vencimento]])</f>
        <v>20</v>
      </c>
      <c r="D433" s="40">
        <v>46285</v>
      </c>
      <c r="E433" s="36"/>
      <c r="F433" s="37">
        <v>98</v>
      </c>
      <c r="G433" s="35" t="s">
        <v>18</v>
      </c>
      <c r="H433" s="43" t="s">
        <v>42</v>
      </c>
      <c r="I433" s="43" t="s">
        <v>15</v>
      </c>
      <c r="J433" s="31" t="s">
        <v>23</v>
      </c>
      <c r="K433" s="38" t="str" cm="1">
        <f t="array" aca="1" ref="K433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34" spans="1:11" x14ac:dyDescent="0.35">
      <c r="A434" s="22">
        <f>YEAR(Tabela135[[#This Row],[Vencimento]])</f>
        <v>2026</v>
      </c>
      <c r="B434" s="23" t="str">
        <f>TEXT(D434,"mmmm")</f>
        <v>setembro</v>
      </c>
      <c r="C434" s="23">
        <f>DAY(Tabela135[[#This Row],[Vencimento]])</f>
        <v>20</v>
      </c>
      <c r="D434" s="24">
        <v>46285</v>
      </c>
      <c r="E434" s="33"/>
      <c r="F434" s="34">
        <v>100</v>
      </c>
      <c r="G434" s="35" t="s">
        <v>43</v>
      </c>
      <c r="H434" s="32" t="s">
        <v>44</v>
      </c>
      <c r="I434" s="32" t="s">
        <v>12</v>
      </c>
      <c r="J434" s="28" t="s">
        <v>23</v>
      </c>
      <c r="K434" s="27" t="str" cm="1">
        <f t="array" aca="1" ref="K434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35" spans="1:11" x14ac:dyDescent="0.35">
      <c r="A435" s="22">
        <f>YEAR(Tabela135[[#This Row],[Vencimento]])</f>
        <v>2026</v>
      </c>
      <c r="B435" s="23" t="str">
        <f>TEXT(D435,"mmmm")</f>
        <v>setembro</v>
      </c>
      <c r="C435" s="23">
        <f>DAY(Tabela135[[#This Row],[Vencimento]])</f>
        <v>6</v>
      </c>
      <c r="D435" s="24">
        <v>46271</v>
      </c>
      <c r="E435" s="33"/>
      <c r="F435" s="34">
        <v>2500</v>
      </c>
      <c r="G435" s="35" t="s">
        <v>45</v>
      </c>
      <c r="H435" s="32" t="s">
        <v>11</v>
      </c>
      <c r="I435" s="32" t="s">
        <v>12</v>
      </c>
      <c r="J435" s="28" t="s">
        <v>23</v>
      </c>
      <c r="K435" s="27" t="str" cm="1">
        <f t="array" aca="1" ref="K435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36" spans="1:11" x14ac:dyDescent="0.35">
      <c r="A436" s="22">
        <f>YEAR(Tabela135[[#This Row],[Vencimento]])</f>
        <v>2026</v>
      </c>
      <c r="B436" s="23" t="str">
        <f>TEXT(D436,"mmmm")</f>
        <v>setembro</v>
      </c>
      <c r="C436" s="23">
        <f>DAY(Tabela135[[#This Row],[Vencimento]])</f>
        <v>20</v>
      </c>
      <c r="D436" s="24">
        <v>46285</v>
      </c>
      <c r="E436" s="33"/>
      <c r="F436" s="34">
        <v>800</v>
      </c>
      <c r="G436" s="35" t="s">
        <v>46</v>
      </c>
      <c r="H436" s="32" t="s">
        <v>47</v>
      </c>
      <c r="I436" s="32" t="s">
        <v>12</v>
      </c>
      <c r="J436" s="28" t="s">
        <v>23</v>
      </c>
      <c r="K436" s="27" t="str" cm="1">
        <f t="array" aca="1" ref="K436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37" spans="1:11" x14ac:dyDescent="0.35">
      <c r="A437" s="22">
        <f>YEAR(Tabela135[[#This Row],[Vencimento]])</f>
        <v>2026</v>
      </c>
      <c r="B437" s="23" t="str">
        <f>TEXT(D437,"mmmm")</f>
        <v>setembro</v>
      </c>
      <c r="C437" s="23">
        <f>DAY(Tabela135[[#This Row],[Vencimento]])</f>
        <v>20</v>
      </c>
      <c r="D437" s="24">
        <v>46285</v>
      </c>
      <c r="E437" s="33"/>
      <c r="F437" s="34">
        <v>1000</v>
      </c>
      <c r="G437" s="35" t="s">
        <v>48</v>
      </c>
      <c r="H437" s="32" t="s">
        <v>49</v>
      </c>
      <c r="I437" s="32" t="s">
        <v>12</v>
      </c>
      <c r="J437" s="28" t="s">
        <v>23</v>
      </c>
      <c r="K437" s="27" t="str" cm="1">
        <f t="array" aca="1" ref="K437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  <row r="438" spans="1:11" x14ac:dyDescent="0.35">
      <c r="A438" s="42">
        <f>YEAR(Tabela135[[#This Row],[Vencimento]])</f>
        <v>2026</v>
      </c>
      <c r="B438" s="25" t="str">
        <f>TEXT(D438,"mmmm")</f>
        <v>setembro</v>
      </c>
      <c r="C438" s="25">
        <f>DAY(Tabela135[[#This Row],[Vencimento]])</f>
        <v>20</v>
      </c>
      <c r="D438" s="40">
        <v>46285</v>
      </c>
      <c r="E438" s="36"/>
      <c r="F438" s="37">
        <v>34</v>
      </c>
      <c r="G438" s="35" t="s">
        <v>50</v>
      </c>
      <c r="H438" s="32" t="s">
        <v>42</v>
      </c>
      <c r="I438" s="43" t="s">
        <v>15</v>
      </c>
      <c r="J438" s="31" t="s">
        <v>23</v>
      </c>
      <c r="K438" s="38" t="str" cm="1">
        <f t="array" aca="1" ref="K438" ca="1">_xlfn.IFS(AND(Tabela135[[#This Row],[Data Pagamento]]="",Tabela135[[#This Row],[Vencimento]]&lt;TODAY()),"Atrasado",AND(Tabela135[[#This Row],[Data Pagamento]]="",Tabela135[[#This Row],[Vencimento]]&gt;TODAY()),"Em Aberto",Tabela135[[#This Row],[Data Pagamento]]&gt;Tabela135[[#This Row],[Vencimento]],"Pago com Atraso",Tabela135[[#This Row],[Data Pagamento]]&lt;=Tabela135[[#This Row],[Vencimento]],"Em dia")</f>
        <v>Em Aberto</v>
      </c>
    </row>
  </sheetData>
  <conditionalFormatting sqref="J2:J91">
    <cfRule type="cellIs" dxfId="73" priority="39" operator="equal">
      <formula>"Pago"</formula>
    </cfRule>
    <cfRule type="cellIs" dxfId="72" priority="40" operator="equal">
      <formula>"Não Pago"</formula>
    </cfRule>
  </conditionalFormatting>
  <conditionalFormatting sqref="J92:J97">
    <cfRule type="cellIs" dxfId="71" priority="31" operator="equal">
      <formula>"Pago"</formula>
    </cfRule>
    <cfRule type="cellIs" dxfId="70" priority="32" operator="equal">
      <formula>"Não Pago"</formula>
    </cfRule>
  </conditionalFormatting>
  <conditionalFormatting sqref="J98:J139">
    <cfRule type="cellIs" dxfId="69" priority="29" operator="equal">
      <formula>"Pago"</formula>
    </cfRule>
    <cfRule type="cellIs" dxfId="68" priority="30" operator="equal">
      <formula>"Não Pago"</formula>
    </cfRule>
  </conditionalFormatting>
  <conditionalFormatting sqref="J140:J145">
    <cfRule type="cellIs" dxfId="67" priority="27" operator="equal">
      <formula>"Pago"</formula>
    </cfRule>
    <cfRule type="cellIs" dxfId="66" priority="28" operator="equal">
      <formula>"Não Pago"</formula>
    </cfRule>
  </conditionalFormatting>
  <conditionalFormatting sqref="J146:J187">
    <cfRule type="cellIs" dxfId="65" priority="25" operator="equal">
      <formula>"Pago"</formula>
    </cfRule>
    <cfRule type="cellIs" dxfId="64" priority="26" operator="equal">
      <formula>"Não Pago"</formula>
    </cfRule>
  </conditionalFormatting>
  <conditionalFormatting sqref="J188:J193">
    <cfRule type="cellIs" dxfId="63" priority="23" operator="equal">
      <formula>"Pago"</formula>
    </cfRule>
    <cfRule type="cellIs" dxfId="62" priority="24" operator="equal">
      <formula>"Não Pago"</formula>
    </cfRule>
  </conditionalFormatting>
  <conditionalFormatting sqref="J194:J235">
    <cfRule type="cellIs" dxfId="61" priority="21" operator="equal">
      <formula>"Pago"</formula>
    </cfRule>
    <cfRule type="cellIs" dxfId="60" priority="22" operator="equal">
      <formula>"Não Pago"</formula>
    </cfRule>
  </conditionalFormatting>
  <conditionalFormatting sqref="J236:J241">
    <cfRule type="cellIs" dxfId="59" priority="19" operator="equal">
      <formula>"Pago"</formula>
    </cfRule>
    <cfRule type="cellIs" dxfId="58" priority="20" operator="equal">
      <formula>"Não Pago"</formula>
    </cfRule>
  </conditionalFormatting>
  <conditionalFormatting sqref="J242:J283">
    <cfRule type="cellIs" dxfId="57" priority="17" operator="equal">
      <formula>"Pago"</formula>
    </cfRule>
    <cfRule type="cellIs" dxfId="56" priority="18" operator="equal">
      <formula>"Não Pago"</formula>
    </cfRule>
  </conditionalFormatting>
  <conditionalFormatting sqref="J284:J289">
    <cfRule type="cellIs" dxfId="55" priority="15" operator="equal">
      <formula>"Pago"</formula>
    </cfRule>
    <cfRule type="cellIs" dxfId="54" priority="16" operator="equal">
      <formula>"Não Pago"</formula>
    </cfRule>
  </conditionalFormatting>
  <conditionalFormatting sqref="J290:J331">
    <cfRule type="cellIs" dxfId="53" priority="13" operator="equal">
      <formula>"Pago"</formula>
    </cfRule>
    <cfRule type="cellIs" dxfId="52" priority="14" operator="equal">
      <formula>"Não Pago"</formula>
    </cfRule>
  </conditionalFormatting>
  <conditionalFormatting sqref="J332:J337">
    <cfRule type="cellIs" dxfId="51" priority="11" operator="equal">
      <formula>"Pago"</formula>
    </cfRule>
    <cfRule type="cellIs" dxfId="50" priority="12" operator="equal">
      <formula>"Não Pago"</formula>
    </cfRule>
  </conditionalFormatting>
  <conditionalFormatting sqref="J338:J379">
    <cfRule type="cellIs" dxfId="49" priority="9" operator="equal">
      <formula>"Pago"</formula>
    </cfRule>
    <cfRule type="cellIs" dxfId="48" priority="10" operator="equal">
      <formula>"Não Pago"</formula>
    </cfRule>
  </conditionalFormatting>
  <conditionalFormatting sqref="J380:J385">
    <cfRule type="cellIs" dxfId="47" priority="7" operator="equal">
      <formula>"Pago"</formula>
    </cfRule>
    <cfRule type="cellIs" dxfId="46" priority="8" operator="equal">
      <formula>"Não Pago"</formula>
    </cfRule>
  </conditionalFormatting>
  <conditionalFormatting sqref="J386:J427">
    <cfRule type="cellIs" dxfId="45" priority="5" operator="equal">
      <formula>"Pago"</formula>
    </cfRule>
    <cfRule type="cellIs" dxfId="44" priority="6" operator="equal">
      <formula>"Não Pago"</formula>
    </cfRule>
  </conditionalFormatting>
  <conditionalFormatting sqref="J428:J433">
    <cfRule type="cellIs" dxfId="43" priority="3" operator="equal">
      <formula>"Pago"</formula>
    </cfRule>
    <cfRule type="cellIs" dxfId="42" priority="4" operator="equal">
      <formula>"Não Pago"</formula>
    </cfRule>
  </conditionalFormatting>
  <conditionalFormatting sqref="J434:J438">
    <cfRule type="cellIs" dxfId="41" priority="1" operator="equal">
      <formula>"Pago"</formula>
    </cfRule>
    <cfRule type="cellIs" dxfId="40" priority="2" operator="equal">
      <formula>"Não Pago"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CF4DB54C-9E70-4881-82BC-D87544BA2987}">
          <x14:formula1>
            <xm:f>'Fatores (Contas)'!$D$3:$D$5</xm:f>
          </x14:formula1>
          <xm:sqref>J2:J438</xm:sqref>
        </x14:dataValidation>
        <x14:dataValidation type="list" showInputMessage="1" showErrorMessage="1" xr:uid="{7A2AABE5-E968-492D-90A1-27B07EB00B54}">
          <x14:formula1>
            <xm:f>'Fatores (Contas)'!$C$3:$C$5</xm:f>
          </x14:formula1>
          <xm:sqref>I2:I438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AF54-390E-47EB-9D34-FC848F6CEC0F}">
  <dimension ref="A1:L26"/>
  <sheetViews>
    <sheetView showGridLines="0" zoomScale="80" zoomScaleNormal="80" workbookViewId="0">
      <selection activeCell="G15" sqref="G15:G16"/>
    </sheetView>
  </sheetViews>
  <sheetFormatPr defaultRowHeight="14.5" x14ac:dyDescent="0.35"/>
  <cols>
    <col min="1" max="1" width="8.81640625" customWidth="1"/>
    <col min="2" max="2" width="5.453125" customWidth="1"/>
    <col min="3" max="3" width="10.54296875" bestFit="1" customWidth="1"/>
    <col min="4" max="4" width="9.26953125" bestFit="1" customWidth="1"/>
    <col min="5" max="5" width="10.54296875" bestFit="1" customWidth="1"/>
    <col min="6" max="6" width="23.54296875" bestFit="1" customWidth="1"/>
    <col min="7" max="7" width="16" bestFit="1" customWidth="1"/>
    <col min="8" max="8" width="25" bestFit="1" customWidth="1"/>
    <col min="9" max="9" width="25.453125" bestFit="1" customWidth="1"/>
    <col min="10" max="10" width="22" bestFit="1" customWidth="1"/>
    <col min="11" max="11" width="18.1796875" bestFit="1" customWidth="1"/>
    <col min="12" max="12" width="19.26953125" bestFit="1" customWidth="1"/>
  </cols>
  <sheetData>
    <row r="1" spans="1:12" x14ac:dyDescent="0.35">
      <c r="D1" s="12" t="str">
        <f>TEXT(E1,"mmm-aaaa")</f>
        <v>mai-2025</v>
      </c>
      <c r="E1" s="13">
        <v>45807</v>
      </c>
    </row>
    <row r="2" spans="1:12" x14ac:dyDescent="0.35">
      <c r="C2" s="15" t="s">
        <v>0</v>
      </c>
      <c r="D2" s="2" t="s">
        <v>1</v>
      </c>
      <c r="E2" s="2" t="s">
        <v>24</v>
      </c>
      <c r="F2" s="2" t="s">
        <v>25</v>
      </c>
      <c r="G2" s="2" t="s">
        <v>26</v>
      </c>
      <c r="H2" s="2" t="s">
        <v>5</v>
      </c>
      <c r="I2" s="2" t="s">
        <v>27</v>
      </c>
      <c r="J2" s="2" t="s">
        <v>28</v>
      </c>
      <c r="K2" s="2" t="s">
        <v>29</v>
      </c>
      <c r="L2" s="2" t="s">
        <v>30</v>
      </c>
    </row>
    <row r="3" spans="1:12" x14ac:dyDescent="0.35">
      <c r="A3">
        <f t="shared" ref="A3:A4" si="0">YEAR(E3)</f>
        <v>2025</v>
      </c>
      <c r="B3" s="11">
        <f t="shared" ref="B3:B4" si="1">MONTH(E3)</f>
        <v>6</v>
      </c>
      <c r="C3" s="16">
        <f>YEAR(Tabela36[[#This Row],[Data]])</f>
        <v>2025</v>
      </c>
      <c r="D3" s="18" t="str">
        <f>TEXT(E3,"mmmm")</f>
        <v>junho</v>
      </c>
      <c r="E3" s="5">
        <v>45823</v>
      </c>
      <c r="F3" s="5" t="str">
        <f>"01 a 14"&amp;"/"&amp;B3&amp;"/"&amp;A3</f>
        <v>01 a 14/6/2025</v>
      </c>
      <c r="G3" s="9">
        <f>3000+2500</f>
        <v>5500</v>
      </c>
      <c r="H3" s="9">
        <f>-SUMIFS('Despesas Detalhe'!$F:$F,'Despesas Detalhe'!$D:$D,"&gt;"&amp;$E1,'Despesas Detalhe'!$D:$D,"&lt;"&amp;$E3)</f>
        <v>-3010</v>
      </c>
      <c r="I3" s="9">
        <f>-SUMIFS('Despesas Detalhe'!$F:$F,'Despesas Detalhe'!$E:$E,"&gt;"&amp;$E1,'Despesas Detalhe'!$E:$E,"&lt;"&amp;$E3)</f>
        <v>-3010</v>
      </c>
      <c r="J3" s="9">
        <f>G3+I3</f>
        <v>2490</v>
      </c>
      <c r="K3" s="9" t="str">
        <f t="shared" ref="K3:K16" si="2">IF((ABS(H3)+I3)&lt;=0,"",ABS(H3)+I3)</f>
        <v/>
      </c>
      <c r="L3" s="10">
        <f>J3/G3</f>
        <v>0.4527272727272727</v>
      </c>
    </row>
    <row r="4" spans="1:12" x14ac:dyDescent="0.35">
      <c r="A4">
        <f t="shared" si="0"/>
        <v>2025</v>
      </c>
      <c r="B4" s="11">
        <f t="shared" si="1"/>
        <v>6</v>
      </c>
      <c r="C4" s="17">
        <f>YEAR(Tabela36[[#This Row],[Data]])</f>
        <v>2025</v>
      </c>
      <c r="D4" s="2" t="str">
        <f t="shared" ref="D4:D16" si="3">TEXT(E4,"mmmm")</f>
        <v>junho</v>
      </c>
      <c r="E4" s="5">
        <v>45838</v>
      </c>
      <c r="F4" s="5" t="str">
        <f>"15 a 30"&amp;"/"&amp;B3&amp;"/"&amp;A3</f>
        <v>15 a 30/6/2025</v>
      </c>
      <c r="G4" s="9">
        <f>2200+2000</f>
        <v>4200</v>
      </c>
      <c r="H4" s="9">
        <f>-SUMIFS('Despesas Detalhe'!$F:$F,'Despesas Detalhe'!$D:$D,"&gt;="&amp;$E3,'Despesas Detalhe'!$D:$D,"&lt;="&amp;$E4)</f>
        <v>-3410</v>
      </c>
      <c r="I4" s="9">
        <f>-SUMIFS('Despesas Detalhe'!$F:$F,'Despesas Detalhe'!$E:$E,"&gt;="&amp;$E3,'Despesas Detalhe'!$E:$E,"&lt;="&amp;$E4)</f>
        <v>-3410</v>
      </c>
      <c r="J4" s="9">
        <f>G4+I4</f>
        <v>790</v>
      </c>
      <c r="K4" s="9" t="str">
        <f t="shared" si="2"/>
        <v/>
      </c>
      <c r="L4" s="10">
        <f>J4/G4</f>
        <v>0.18809523809523809</v>
      </c>
    </row>
    <row r="5" spans="1:12" x14ac:dyDescent="0.35">
      <c r="A5">
        <f>YEAR(E5)</f>
        <v>2025</v>
      </c>
      <c r="B5" s="11">
        <f>MONTH(E5)</f>
        <v>7</v>
      </c>
      <c r="C5" s="16">
        <f>YEAR(Tabela36[[#This Row],[Data]])</f>
        <v>2025</v>
      </c>
      <c r="D5" s="2" t="str">
        <f t="shared" si="3"/>
        <v>julho</v>
      </c>
      <c r="E5" s="5">
        <v>45853</v>
      </c>
      <c r="F5" s="5" t="str">
        <f>"01 a 14"&amp;"/"&amp;B5&amp;"/"&amp;A5</f>
        <v>01 a 14/7/2025</v>
      </c>
      <c r="G5" s="9">
        <f>3000+2500</f>
        <v>5500</v>
      </c>
      <c r="H5" s="9">
        <f>-SUMIFS('Despesas Detalhe'!$F:$F,'Despesas Detalhe'!$D:$D,"&gt;"&amp;$E4,'Despesas Detalhe'!$D:$D,"&lt;"&amp;$E5)</f>
        <v>-3010</v>
      </c>
      <c r="I5" s="9">
        <f>-SUMIFS('Despesas Detalhe'!$F:$F,'Despesas Detalhe'!$E:$E,"&gt;"&amp;$E4,'Despesas Detalhe'!$E:$E,"&lt;"&amp;$E5)</f>
        <v>-3010</v>
      </c>
      <c r="J5" s="9">
        <f>G5+I5</f>
        <v>2490</v>
      </c>
      <c r="K5" s="9" t="str">
        <f t="shared" si="2"/>
        <v/>
      </c>
      <c r="L5" s="10">
        <f>J5/G5</f>
        <v>0.4527272727272727</v>
      </c>
    </row>
    <row r="6" spans="1:12" x14ac:dyDescent="0.35">
      <c r="A6">
        <f t="shared" ref="A6:A16" si="4">YEAR(E6)</f>
        <v>2025</v>
      </c>
      <c r="B6" s="11">
        <f t="shared" ref="B6:B16" si="5">MONTH(E6)</f>
        <v>7</v>
      </c>
      <c r="C6" s="17">
        <f>YEAR(Tabela36[[#This Row],[Data]])</f>
        <v>2025</v>
      </c>
      <c r="D6" s="2" t="str">
        <f t="shared" si="3"/>
        <v>julho</v>
      </c>
      <c r="E6" s="5">
        <v>45868</v>
      </c>
      <c r="F6" s="5" t="str">
        <f>"15 a 30"&amp;"/"&amp;B5&amp;"/"&amp;A5</f>
        <v>15 a 30/7/2025</v>
      </c>
      <c r="G6" s="9">
        <f>2200+2000</f>
        <v>4200</v>
      </c>
      <c r="H6" s="9">
        <f>-SUMIFS('Despesas Detalhe'!$F:$F,'Despesas Detalhe'!$D:$D,"&gt;="&amp;$E5,'Despesas Detalhe'!$D:$D,"&lt;="&amp;$E6)</f>
        <v>-2687</v>
      </c>
      <c r="I6" s="9">
        <f>-SUMIFS('Despesas Detalhe'!$F:$F,'Despesas Detalhe'!$E:$E,"&gt;="&amp;$E5,'Despesas Detalhe'!$E:$E,"&lt;="&amp;$E6)</f>
        <v>-2687</v>
      </c>
      <c r="J6" s="9">
        <f>G6+I6</f>
        <v>1513</v>
      </c>
      <c r="K6" s="9" t="str">
        <f t="shared" si="2"/>
        <v/>
      </c>
      <c r="L6" s="10">
        <f>J6/G6</f>
        <v>0.36023809523809525</v>
      </c>
    </row>
    <row r="7" spans="1:12" x14ac:dyDescent="0.35">
      <c r="A7">
        <f t="shared" si="4"/>
        <v>2025</v>
      </c>
      <c r="B7" s="11">
        <f t="shared" si="5"/>
        <v>8</v>
      </c>
      <c r="C7" s="16">
        <f>YEAR(Tabela36[[#This Row],[Data]])</f>
        <v>2025</v>
      </c>
      <c r="D7" s="2" t="str">
        <f t="shared" si="3"/>
        <v>agosto</v>
      </c>
      <c r="E7" s="5">
        <v>45884</v>
      </c>
      <c r="F7" s="5" t="str">
        <f>"01 a 14"&amp;"/"&amp;B7&amp;"/"&amp;A7</f>
        <v>01 a 14/8/2025</v>
      </c>
      <c r="G7" s="9">
        <f>3000+2500</f>
        <v>5500</v>
      </c>
      <c r="H7" s="9">
        <f>-SUMIFS('Despesas Detalhe'!$F:$F,'Despesas Detalhe'!$D:$D,"&gt;"&amp;$E6,'Despesas Detalhe'!$D:$D,"&lt;"&amp;$E7)</f>
        <v>-3010</v>
      </c>
      <c r="I7" s="9">
        <f>-SUMIFS('Despesas Detalhe'!$F:$F,'Despesas Detalhe'!$E:$E,"&gt;"&amp;$E6,'Despesas Detalhe'!$E:$E,"&lt;"&amp;$E7)</f>
        <v>-3010</v>
      </c>
      <c r="J7" s="9">
        <f t="shared" ref="J7:J16" si="6">G7+I7</f>
        <v>2490</v>
      </c>
      <c r="K7" s="9" t="str">
        <f t="shared" si="2"/>
        <v/>
      </c>
      <c r="L7" s="10">
        <f t="shared" ref="L7:L16" si="7">J7/G7</f>
        <v>0.4527272727272727</v>
      </c>
    </row>
    <row r="8" spans="1:12" x14ac:dyDescent="0.35">
      <c r="A8">
        <f t="shared" si="4"/>
        <v>2025</v>
      </c>
      <c r="B8" s="11">
        <f t="shared" si="5"/>
        <v>8</v>
      </c>
      <c r="C8" s="17">
        <f>YEAR(Tabela36[[#This Row],[Data]])</f>
        <v>2025</v>
      </c>
      <c r="D8" s="2" t="str">
        <f t="shared" si="3"/>
        <v>agosto</v>
      </c>
      <c r="E8" s="5">
        <v>45899</v>
      </c>
      <c r="F8" s="5" t="str">
        <f>"15 a 30"&amp;"/"&amp;B7&amp;"/"&amp;A7</f>
        <v>15 a 30/8/2025</v>
      </c>
      <c r="G8" s="9">
        <f>2200+2000</f>
        <v>4200</v>
      </c>
      <c r="H8" s="9">
        <f>-SUMIFS('Despesas Detalhe'!$F:$F,'Despesas Detalhe'!$D:$D,"&gt;="&amp;$E7,'Despesas Detalhe'!$D:$D,"&lt;="&amp;$E8)</f>
        <v>-3001</v>
      </c>
      <c r="I8" s="9">
        <f>-SUMIFS('Despesas Detalhe'!$F:$F,'Despesas Detalhe'!$E:$E,"&gt;="&amp;$E7,'Despesas Detalhe'!$E:$E,"&lt;="&amp;$E8)</f>
        <v>-3001</v>
      </c>
      <c r="J8" s="9">
        <f t="shared" si="6"/>
        <v>1199</v>
      </c>
      <c r="K8" s="9" t="str">
        <f t="shared" si="2"/>
        <v/>
      </c>
      <c r="L8" s="10">
        <f t="shared" si="7"/>
        <v>0.28547619047619049</v>
      </c>
    </row>
    <row r="9" spans="1:12" x14ac:dyDescent="0.35">
      <c r="A9">
        <f t="shared" si="4"/>
        <v>2025</v>
      </c>
      <c r="B9" s="11">
        <f t="shared" si="5"/>
        <v>9</v>
      </c>
      <c r="C9" s="16">
        <f>YEAR(Tabela36[[#This Row],[Data]])</f>
        <v>2025</v>
      </c>
      <c r="D9" s="2" t="str">
        <f t="shared" si="3"/>
        <v>setembro</v>
      </c>
      <c r="E9" s="5">
        <v>45915</v>
      </c>
      <c r="F9" s="5" t="str">
        <f>"01 a 14"&amp;"/"&amp;B9&amp;"/"&amp;A9</f>
        <v>01 a 14/9/2025</v>
      </c>
      <c r="G9" s="9">
        <f>3000+2500</f>
        <v>5500</v>
      </c>
      <c r="H9" s="9">
        <f>-SUMIFS('Despesas Detalhe'!$F:$F,'Despesas Detalhe'!$D:$D,"&gt;"&amp;$E8,'Despesas Detalhe'!$D:$D,"&lt;"&amp;$E9)</f>
        <v>-3010</v>
      </c>
      <c r="I9" s="9">
        <f>-SUMIFS('Despesas Detalhe'!$F:$F,'Despesas Detalhe'!$E:$E,"&gt;"&amp;$E8,'Despesas Detalhe'!$E:$E,"&lt;"&amp;$E9)</f>
        <v>-3010</v>
      </c>
      <c r="J9" s="9">
        <f t="shared" si="6"/>
        <v>2490</v>
      </c>
      <c r="K9" s="9" t="str">
        <f t="shared" si="2"/>
        <v/>
      </c>
      <c r="L9" s="10">
        <f t="shared" si="7"/>
        <v>0.4527272727272727</v>
      </c>
    </row>
    <row r="10" spans="1:12" x14ac:dyDescent="0.35">
      <c r="A10">
        <f t="shared" si="4"/>
        <v>2025</v>
      </c>
      <c r="B10" s="11">
        <f t="shared" si="5"/>
        <v>9</v>
      </c>
      <c r="C10" s="17">
        <f>YEAR(Tabela36[[#This Row],[Data]])</f>
        <v>2025</v>
      </c>
      <c r="D10" s="2" t="str">
        <f t="shared" si="3"/>
        <v>setembro</v>
      </c>
      <c r="E10" s="5">
        <v>45930</v>
      </c>
      <c r="F10" s="5" t="str">
        <f>"15 a 30"&amp;"/"&amp;B9&amp;"/"&amp;A9</f>
        <v>15 a 30/9/2025</v>
      </c>
      <c r="G10" s="9">
        <f>2200+2000</f>
        <v>4200</v>
      </c>
      <c r="H10" s="9">
        <f>-SUMIFS('Despesas Detalhe'!$F:$F,'Despesas Detalhe'!$D:$D,"&gt;="&amp;$E9,'Despesas Detalhe'!$D:$D,"&lt;="&amp;$E10)</f>
        <v>-2820</v>
      </c>
      <c r="I10" s="9">
        <f>-SUMIFS('Despesas Detalhe'!$F:$F,'Despesas Detalhe'!$E:$E,"&gt;="&amp;$E9,'Despesas Detalhe'!$E:$E,"&lt;="&amp;$E10)</f>
        <v>-2820</v>
      </c>
      <c r="J10" s="9">
        <f t="shared" si="6"/>
        <v>1380</v>
      </c>
      <c r="K10" s="9" t="str">
        <f t="shared" si="2"/>
        <v/>
      </c>
      <c r="L10" s="10">
        <f t="shared" si="7"/>
        <v>0.32857142857142857</v>
      </c>
    </row>
    <row r="11" spans="1:12" x14ac:dyDescent="0.35">
      <c r="A11">
        <f t="shared" si="4"/>
        <v>2025</v>
      </c>
      <c r="B11" s="11">
        <f t="shared" si="5"/>
        <v>10</v>
      </c>
      <c r="C11" s="16">
        <f>YEAR(Tabela36[[#This Row],[Data]])</f>
        <v>2025</v>
      </c>
      <c r="D11" s="2" t="str">
        <f t="shared" si="3"/>
        <v>outubro</v>
      </c>
      <c r="E11" s="5">
        <v>45945</v>
      </c>
      <c r="F11" s="5" t="str">
        <f>"01 a 14"&amp;"/"&amp;B11&amp;"/"&amp;A11</f>
        <v>01 a 14/10/2025</v>
      </c>
      <c r="G11" s="9">
        <f>3000+2500</f>
        <v>5500</v>
      </c>
      <c r="H11" s="9">
        <f>-SUMIFS('Despesas Detalhe'!$F:$F,'Despesas Detalhe'!$D:$D,"&gt;"&amp;$E10,'Despesas Detalhe'!$D:$D,"&lt;"&amp;$E11)</f>
        <v>-3010</v>
      </c>
      <c r="I11" s="9">
        <f>-SUMIFS('Despesas Detalhe'!$F:$F,'Despesas Detalhe'!$E:$E,"&gt;"&amp;$E10,'Despesas Detalhe'!$E:$E,"&lt;"&amp;$E11)</f>
        <v>-3010</v>
      </c>
      <c r="J11" s="9">
        <f t="shared" si="6"/>
        <v>2490</v>
      </c>
      <c r="K11" s="9" t="str">
        <f t="shared" si="2"/>
        <v/>
      </c>
      <c r="L11" s="10">
        <f t="shared" si="7"/>
        <v>0.4527272727272727</v>
      </c>
    </row>
    <row r="12" spans="1:12" x14ac:dyDescent="0.35">
      <c r="A12">
        <f t="shared" si="4"/>
        <v>2025</v>
      </c>
      <c r="B12" s="11">
        <f t="shared" si="5"/>
        <v>10</v>
      </c>
      <c r="C12" s="17">
        <f>YEAR(Tabela36[[#This Row],[Data]])</f>
        <v>2025</v>
      </c>
      <c r="D12" s="2" t="str">
        <f t="shared" si="3"/>
        <v>outubro</v>
      </c>
      <c r="E12" s="5">
        <v>45960</v>
      </c>
      <c r="F12" s="5" t="str">
        <f>"15 a 30"&amp;"/"&amp;B11&amp;"/"&amp;A11</f>
        <v>15 a 30/10/2025</v>
      </c>
      <c r="G12" s="9">
        <f>2200+2000</f>
        <v>4200</v>
      </c>
      <c r="H12" s="9">
        <f>-SUMIFS('Despesas Detalhe'!$F:$F,'Despesas Detalhe'!$D:$D,"&gt;="&amp;$E11,'Despesas Detalhe'!$D:$D,"&lt;="&amp;$E12)</f>
        <v>-2589</v>
      </c>
      <c r="I12" s="9">
        <f>-SUMIFS('Despesas Detalhe'!$F:$F,'Despesas Detalhe'!$E:$E,"&gt;="&amp;$E11,'Despesas Detalhe'!$E:$E,"&lt;="&amp;$E12)</f>
        <v>-2589</v>
      </c>
      <c r="J12" s="9">
        <f t="shared" si="6"/>
        <v>1611</v>
      </c>
      <c r="K12" s="9" t="str">
        <f t="shared" si="2"/>
        <v/>
      </c>
      <c r="L12" s="10">
        <f t="shared" si="7"/>
        <v>0.38357142857142856</v>
      </c>
    </row>
    <row r="13" spans="1:12" x14ac:dyDescent="0.35">
      <c r="A13">
        <f t="shared" si="4"/>
        <v>2025</v>
      </c>
      <c r="B13" s="11">
        <f t="shared" si="5"/>
        <v>11</v>
      </c>
      <c r="C13" s="16">
        <f>YEAR(Tabela36[[#This Row],[Data]])</f>
        <v>2025</v>
      </c>
      <c r="D13" s="2" t="str">
        <f t="shared" si="3"/>
        <v>novembro</v>
      </c>
      <c r="E13" s="5">
        <v>45976</v>
      </c>
      <c r="F13" s="5" t="str">
        <f>"01 a 14"&amp;"/"&amp;B13&amp;"/"&amp;A13</f>
        <v>01 a 14/11/2025</v>
      </c>
      <c r="G13" s="9">
        <f>3000+2500</f>
        <v>5500</v>
      </c>
      <c r="H13" s="9">
        <f>-SUMIFS('Despesas Detalhe'!$F:$F,'Despesas Detalhe'!$D:$D,"&gt;"&amp;$E12,'Despesas Detalhe'!$D:$D,"&lt;"&amp;$E13)</f>
        <v>-3010</v>
      </c>
      <c r="I13" s="9">
        <f>-SUMIFS('Despesas Detalhe'!$F:$F,'Despesas Detalhe'!$E:$E,"&gt;"&amp;$E12,'Despesas Detalhe'!$E:$E,"&lt;"&amp;$E13)</f>
        <v>-3010</v>
      </c>
      <c r="J13" s="9">
        <f t="shared" si="6"/>
        <v>2490</v>
      </c>
      <c r="K13" s="9" t="str">
        <f t="shared" si="2"/>
        <v/>
      </c>
      <c r="L13" s="10">
        <f t="shared" si="7"/>
        <v>0.4527272727272727</v>
      </c>
    </row>
    <row r="14" spans="1:12" x14ac:dyDescent="0.35">
      <c r="A14">
        <f t="shared" si="4"/>
        <v>2025</v>
      </c>
      <c r="B14" s="11">
        <f t="shared" si="5"/>
        <v>11</v>
      </c>
      <c r="C14" s="17">
        <f>YEAR(Tabela36[[#This Row],[Data]])</f>
        <v>2025</v>
      </c>
      <c r="D14" s="2" t="str">
        <f t="shared" si="3"/>
        <v>novembro</v>
      </c>
      <c r="E14" s="5">
        <v>45991</v>
      </c>
      <c r="F14" s="5" t="str">
        <f>"15 a 30"&amp;"/"&amp;B13&amp;"/"&amp;A13</f>
        <v>15 a 30/11/2025</v>
      </c>
      <c r="G14" s="9">
        <f>2200+2000</f>
        <v>4200</v>
      </c>
      <c r="H14" s="9">
        <f>-SUMIFS('Despesas Detalhe'!$F:$F,'Despesas Detalhe'!$D:$D,"&gt;="&amp;$E13,'Despesas Detalhe'!$D:$D,"&lt;="&amp;$E14)</f>
        <v>-3110</v>
      </c>
      <c r="I14" s="9">
        <f>-SUMIFS('Despesas Detalhe'!$F:$F,'Despesas Detalhe'!$E:$E,"&gt;="&amp;$E13,'Despesas Detalhe'!$E:$E,"&lt;="&amp;$E14)</f>
        <v>-3110</v>
      </c>
      <c r="J14" s="9">
        <f t="shared" si="6"/>
        <v>1090</v>
      </c>
      <c r="K14" s="9" t="str">
        <f t="shared" si="2"/>
        <v/>
      </c>
      <c r="L14" s="10">
        <f t="shared" si="7"/>
        <v>0.25952380952380955</v>
      </c>
    </row>
    <row r="15" spans="1:12" x14ac:dyDescent="0.35">
      <c r="A15">
        <f t="shared" si="4"/>
        <v>2025</v>
      </c>
      <c r="B15" s="11">
        <f t="shared" si="5"/>
        <v>12</v>
      </c>
      <c r="C15" s="16">
        <f>YEAR(Tabela36[[#This Row],[Data]])</f>
        <v>2025</v>
      </c>
      <c r="D15" s="2" t="str">
        <f t="shared" si="3"/>
        <v>dezembro</v>
      </c>
      <c r="E15" s="5">
        <v>46006</v>
      </c>
      <c r="F15" s="5" t="str">
        <f>"01 a 14"&amp;"/"&amp;B15&amp;"/"&amp;A15</f>
        <v>01 a 14/12/2025</v>
      </c>
      <c r="G15" s="9">
        <f>3000+2500</f>
        <v>5500</v>
      </c>
      <c r="H15" s="9">
        <f>-SUMIFS('Despesas Detalhe'!$F:$F,'Despesas Detalhe'!$D:$D,"&gt;"&amp;$E14,'Despesas Detalhe'!$D:$D,"&lt;"&amp;$E15)</f>
        <v>-3010</v>
      </c>
      <c r="I15" s="9">
        <f>-SUMIFS('Despesas Detalhe'!$F:$F,'Despesas Detalhe'!$E:$E,"&gt;"&amp;$E14,'Despesas Detalhe'!$E:$E,"&lt;"&amp;$E15)</f>
        <v>-3010</v>
      </c>
      <c r="J15" s="9">
        <f t="shared" si="6"/>
        <v>2490</v>
      </c>
      <c r="K15" s="9" t="str">
        <f t="shared" si="2"/>
        <v/>
      </c>
      <c r="L15" s="10">
        <f t="shared" si="7"/>
        <v>0.4527272727272727</v>
      </c>
    </row>
    <row r="16" spans="1:12" x14ac:dyDescent="0.35">
      <c r="A16">
        <f t="shared" si="4"/>
        <v>2025</v>
      </c>
      <c r="B16" s="11">
        <f t="shared" si="5"/>
        <v>12</v>
      </c>
      <c r="C16" s="17">
        <f>YEAR(Tabela36[[#This Row],[Data]])</f>
        <v>2025</v>
      </c>
      <c r="D16" s="2" t="str">
        <f t="shared" si="3"/>
        <v>dezembro</v>
      </c>
      <c r="E16" s="5">
        <v>46021</v>
      </c>
      <c r="F16" s="5" t="str">
        <f>"15 a 30"&amp;"/"&amp;B15&amp;"/"&amp;A15</f>
        <v>15 a 30/12/2025</v>
      </c>
      <c r="G16" s="9">
        <f>2200+2000</f>
        <v>4200</v>
      </c>
      <c r="H16" s="9">
        <f>-SUMIFS('Despesas Detalhe'!$F:$F,'Despesas Detalhe'!$D:$D,"&gt;="&amp;$E15,'Despesas Detalhe'!$D:$D,"&lt;="&amp;$E16)</f>
        <v>-2551</v>
      </c>
      <c r="I16" s="9">
        <f>-SUMIFS('Despesas Detalhe'!$F:$F,'Despesas Detalhe'!$E:$E,"&gt;="&amp;$E15,'Despesas Detalhe'!$E:$E,"&lt;="&amp;$E16)</f>
        <v>-2551</v>
      </c>
      <c r="J16" s="9">
        <f t="shared" si="6"/>
        <v>1649</v>
      </c>
      <c r="K16" s="9" t="str">
        <f t="shared" si="2"/>
        <v/>
      </c>
      <c r="L16" s="10">
        <f t="shared" si="7"/>
        <v>0.39261904761904765</v>
      </c>
    </row>
    <row r="19" spans="7:7" x14ac:dyDescent="0.35">
      <c r="G19" s="14"/>
    </row>
    <row r="20" spans="7:7" x14ac:dyDescent="0.35">
      <c r="G20" s="14"/>
    </row>
    <row r="21" spans="7:7" x14ac:dyDescent="0.35">
      <c r="G21" s="14"/>
    </row>
    <row r="22" spans="7:7" x14ac:dyDescent="0.35">
      <c r="G22" s="14"/>
    </row>
    <row r="23" spans="7:7" x14ac:dyDescent="0.35">
      <c r="G23" s="14"/>
    </row>
    <row r="24" spans="7:7" x14ac:dyDescent="0.35">
      <c r="G24" s="14"/>
    </row>
    <row r="25" spans="7:7" x14ac:dyDescent="0.35">
      <c r="G25" s="14"/>
    </row>
    <row r="26" spans="7:7" x14ac:dyDescent="0.35">
      <c r="G26" s="14"/>
    </row>
  </sheetData>
  <conditionalFormatting sqref="H3:I16 G17:H9779 J17:J9779">
    <cfRule type="cellIs" dxfId="26" priority="7" operator="lessThan">
      <formula>0</formula>
    </cfRule>
  </conditionalFormatting>
  <conditionalFormatting sqref="J3:J16 I17:I9779">
    <cfRule type="cellIs" dxfId="25" priority="5" operator="lessThan">
      <formula>0</formula>
    </cfRule>
  </conditionalFormatting>
  <conditionalFormatting sqref="J3:J16 I17:J9779">
    <cfRule type="cellIs" dxfId="24" priority="6" operator="greaterThan">
      <formula>0</formula>
    </cfRule>
  </conditionalFormatting>
  <conditionalFormatting sqref="K3:K16">
    <cfRule type="cellIs" dxfId="23" priority="1" operator="greaterThan">
      <formula>0</formula>
    </cfRule>
    <cfRule type="cellIs" dxfId="22" priority="2" operator="lessThan">
      <formula>0</formula>
    </cfRule>
  </conditionalFormatting>
  <conditionalFormatting sqref="L3:L16 K17:K9779">
    <cfRule type="cellIs" dxfId="21" priority="3" operator="greaterThan">
      <formula>0</formula>
    </cfRule>
    <cfRule type="cellIs" dxfId="20" priority="4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9780-078C-4016-85C7-60F7638642A4}">
  <dimension ref="B2:J400"/>
  <sheetViews>
    <sheetView workbookViewId="0">
      <selection activeCell="B1" sqref="B1:C1048576"/>
    </sheetView>
  </sheetViews>
  <sheetFormatPr defaultRowHeight="14.5" x14ac:dyDescent="0.35"/>
  <cols>
    <col min="2" max="2" width="11.453125" bestFit="1" customWidth="1"/>
    <col min="3" max="3" width="13.1796875" bestFit="1" customWidth="1"/>
    <col min="5" max="5" width="27" bestFit="1" customWidth="1"/>
    <col min="6" max="6" width="19.26953125" bestFit="1" customWidth="1"/>
    <col min="8" max="8" width="12.26953125" hidden="1" customWidth="1"/>
    <col min="9" max="9" width="0" hidden="1" customWidth="1"/>
  </cols>
  <sheetData>
    <row r="2" spans="2:10" x14ac:dyDescent="0.35">
      <c r="B2" s="1" t="s">
        <v>24</v>
      </c>
      <c r="C2" s="1" t="s">
        <v>8</v>
      </c>
      <c r="D2" s="3" t="s">
        <v>9</v>
      </c>
      <c r="E2" s="1" t="s">
        <v>6</v>
      </c>
    </row>
    <row r="3" spans="2:10" x14ac:dyDescent="0.35">
      <c r="F3" s="1"/>
    </row>
    <row r="4" spans="2:10" x14ac:dyDescent="0.35">
      <c r="B4" s="4">
        <v>44896</v>
      </c>
      <c r="C4" t="s">
        <v>12</v>
      </c>
      <c r="D4" t="s">
        <v>13</v>
      </c>
      <c r="E4" s="7" t="s">
        <v>10</v>
      </c>
      <c r="G4" t="s">
        <v>31</v>
      </c>
      <c r="J4" t="s">
        <v>32</v>
      </c>
    </row>
    <row r="5" spans="2:10" x14ac:dyDescent="0.35">
      <c r="B5" s="4">
        <v>44897</v>
      </c>
      <c r="C5" t="s">
        <v>15</v>
      </c>
      <c r="D5" t="s">
        <v>23</v>
      </c>
      <c r="E5" s="7" t="s">
        <v>20</v>
      </c>
      <c r="G5" t="s">
        <v>33</v>
      </c>
      <c r="J5" t="s">
        <v>34</v>
      </c>
    </row>
    <row r="6" spans="2:10" x14ac:dyDescent="0.35">
      <c r="B6" s="4">
        <v>44898</v>
      </c>
      <c r="E6" s="7" t="s">
        <v>16</v>
      </c>
      <c r="G6" t="s">
        <v>35</v>
      </c>
    </row>
    <row r="7" spans="2:10" x14ac:dyDescent="0.35">
      <c r="B7" s="4">
        <v>44899</v>
      </c>
      <c r="E7" s="7" t="s">
        <v>17</v>
      </c>
    </row>
    <row r="8" spans="2:10" x14ac:dyDescent="0.35">
      <c r="B8" s="4">
        <v>44900</v>
      </c>
      <c r="E8" s="8" t="s">
        <v>21</v>
      </c>
    </row>
    <row r="9" spans="2:10" x14ac:dyDescent="0.35">
      <c r="B9" s="4">
        <v>44901</v>
      </c>
      <c r="E9" s="8" t="s">
        <v>22</v>
      </c>
      <c r="H9" t="s">
        <v>36</v>
      </c>
      <c r="I9" t="s">
        <v>37</v>
      </c>
    </row>
    <row r="10" spans="2:10" x14ac:dyDescent="0.35">
      <c r="B10" s="4">
        <v>44902</v>
      </c>
      <c r="E10" s="8" t="s">
        <v>14</v>
      </c>
      <c r="H10">
        <v>1070</v>
      </c>
      <c r="I10">
        <v>800</v>
      </c>
    </row>
    <row r="11" spans="2:10" x14ac:dyDescent="0.35">
      <c r="B11" s="4">
        <v>44903</v>
      </c>
      <c r="E11" s="8" t="s">
        <v>19</v>
      </c>
    </row>
    <row r="12" spans="2:10" x14ac:dyDescent="0.35">
      <c r="B12" s="4">
        <v>44904</v>
      </c>
      <c r="E12" s="8" t="s">
        <v>38</v>
      </c>
    </row>
    <row r="13" spans="2:10" x14ac:dyDescent="0.35">
      <c r="B13" s="4">
        <v>44905</v>
      </c>
      <c r="E13" s="8" t="s">
        <v>18</v>
      </c>
    </row>
    <row r="14" spans="2:10" x14ac:dyDescent="0.35">
      <c r="B14" s="4">
        <v>44906</v>
      </c>
      <c r="E14" s="7" t="s">
        <v>39</v>
      </c>
    </row>
    <row r="15" spans="2:10" x14ac:dyDescent="0.35">
      <c r="B15" s="4">
        <v>44907</v>
      </c>
    </row>
    <row r="16" spans="2:10" x14ac:dyDescent="0.35">
      <c r="B16" s="4">
        <v>44908</v>
      </c>
    </row>
    <row r="17" spans="2:2" x14ac:dyDescent="0.35">
      <c r="B17" s="4">
        <v>44909</v>
      </c>
    </row>
    <row r="18" spans="2:2" x14ac:dyDescent="0.35">
      <c r="B18" s="4">
        <v>44910</v>
      </c>
    </row>
    <row r="19" spans="2:2" x14ac:dyDescent="0.35">
      <c r="B19" s="4">
        <v>44911</v>
      </c>
    </row>
    <row r="20" spans="2:2" x14ac:dyDescent="0.35">
      <c r="B20" s="4">
        <v>44912</v>
      </c>
    </row>
    <row r="21" spans="2:2" x14ac:dyDescent="0.35">
      <c r="B21" s="4">
        <v>44913</v>
      </c>
    </row>
    <row r="22" spans="2:2" x14ac:dyDescent="0.35">
      <c r="B22" s="4">
        <v>44914</v>
      </c>
    </row>
    <row r="23" spans="2:2" x14ac:dyDescent="0.35">
      <c r="B23" s="4">
        <v>44915</v>
      </c>
    </row>
    <row r="24" spans="2:2" x14ac:dyDescent="0.35">
      <c r="B24" s="4">
        <v>44916</v>
      </c>
    </row>
    <row r="25" spans="2:2" x14ac:dyDescent="0.35">
      <c r="B25" s="4">
        <v>44917</v>
      </c>
    </row>
    <row r="26" spans="2:2" x14ac:dyDescent="0.35">
      <c r="B26" s="4">
        <v>44918</v>
      </c>
    </row>
    <row r="27" spans="2:2" x14ac:dyDescent="0.35">
      <c r="B27" s="4">
        <v>44919</v>
      </c>
    </row>
    <row r="28" spans="2:2" x14ac:dyDescent="0.35">
      <c r="B28" s="4">
        <v>44920</v>
      </c>
    </row>
    <row r="29" spans="2:2" x14ac:dyDescent="0.35">
      <c r="B29" s="4">
        <v>44921</v>
      </c>
    </row>
    <row r="30" spans="2:2" x14ac:dyDescent="0.35">
      <c r="B30" s="4">
        <v>44922</v>
      </c>
    </row>
    <row r="31" spans="2:2" x14ac:dyDescent="0.35">
      <c r="B31" s="4">
        <v>44923</v>
      </c>
    </row>
    <row r="32" spans="2:2" x14ac:dyDescent="0.35">
      <c r="B32" s="4">
        <v>44924</v>
      </c>
    </row>
    <row r="33" spans="2:2" x14ac:dyDescent="0.35">
      <c r="B33" s="4">
        <v>44925</v>
      </c>
    </row>
    <row r="34" spans="2:2" x14ac:dyDescent="0.35">
      <c r="B34" s="4">
        <v>44926</v>
      </c>
    </row>
    <row r="35" spans="2:2" x14ac:dyDescent="0.35">
      <c r="B35" s="4">
        <v>44927</v>
      </c>
    </row>
    <row r="36" spans="2:2" x14ac:dyDescent="0.35">
      <c r="B36" s="4">
        <v>44928</v>
      </c>
    </row>
    <row r="37" spans="2:2" x14ac:dyDescent="0.35">
      <c r="B37" s="4">
        <v>44929</v>
      </c>
    </row>
    <row r="38" spans="2:2" x14ac:dyDescent="0.35">
      <c r="B38" s="4">
        <v>44930</v>
      </c>
    </row>
    <row r="39" spans="2:2" x14ac:dyDescent="0.35">
      <c r="B39" s="4">
        <v>44931</v>
      </c>
    </row>
    <row r="40" spans="2:2" x14ac:dyDescent="0.35">
      <c r="B40" s="4">
        <v>44932</v>
      </c>
    </row>
    <row r="41" spans="2:2" x14ac:dyDescent="0.35">
      <c r="B41" s="4">
        <v>44933</v>
      </c>
    </row>
    <row r="42" spans="2:2" x14ac:dyDescent="0.35">
      <c r="B42" s="4">
        <v>44934</v>
      </c>
    </row>
    <row r="43" spans="2:2" x14ac:dyDescent="0.35">
      <c r="B43" s="4">
        <v>44935</v>
      </c>
    </row>
    <row r="44" spans="2:2" x14ac:dyDescent="0.35">
      <c r="B44" s="4">
        <v>44936</v>
      </c>
    </row>
    <row r="45" spans="2:2" x14ac:dyDescent="0.35">
      <c r="B45" s="4">
        <v>44937</v>
      </c>
    </row>
    <row r="46" spans="2:2" x14ac:dyDescent="0.35">
      <c r="B46" s="4">
        <v>44938</v>
      </c>
    </row>
    <row r="47" spans="2:2" x14ac:dyDescent="0.35">
      <c r="B47" s="4">
        <v>44939</v>
      </c>
    </row>
    <row r="48" spans="2:2" x14ac:dyDescent="0.35">
      <c r="B48" s="4">
        <v>44940</v>
      </c>
    </row>
    <row r="49" spans="2:2" x14ac:dyDescent="0.35">
      <c r="B49" s="4">
        <v>44941</v>
      </c>
    </row>
    <row r="50" spans="2:2" x14ac:dyDescent="0.35">
      <c r="B50" s="4">
        <v>44942</v>
      </c>
    </row>
    <row r="51" spans="2:2" x14ac:dyDescent="0.35">
      <c r="B51" s="4">
        <v>44943</v>
      </c>
    </row>
    <row r="52" spans="2:2" x14ac:dyDescent="0.35">
      <c r="B52" s="4">
        <v>44944</v>
      </c>
    </row>
    <row r="53" spans="2:2" x14ac:dyDescent="0.35">
      <c r="B53" s="4">
        <v>44945</v>
      </c>
    </row>
    <row r="54" spans="2:2" x14ac:dyDescent="0.35">
      <c r="B54" s="4">
        <v>44946</v>
      </c>
    </row>
    <row r="55" spans="2:2" x14ac:dyDescent="0.35">
      <c r="B55" s="4">
        <v>44947</v>
      </c>
    </row>
    <row r="56" spans="2:2" x14ac:dyDescent="0.35">
      <c r="B56" s="4">
        <v>44948</v>
      </c>
    </row>
    <row r="57" spans="2:2" x14ac:dyDescent="0.35">
      <c r="B57" s="4">
        <v>44949</v>
      </c>
    </row>
    <row r="58" spans="2:2" x14ac:dyDescent="0.35">
      <c r="B58" s="4">
        <v>44950</v>
      </c>
    </row>
    <row r="59" spans="2:2" x14ac:dyDescent="0.35">
      <c r="B59" s="4">
        <v>44951</v>
      </c>
    </row>
    <row r="60" spans="2:2" x14ac:dyDescent="0.35">
      <c r="B60" s="4">
        <v>44952</v>
      </c>
    </row>
    <row r="61" spans="2:2" x14ac:dyDescent="0.35">
      <c r="B61" s="4">
        <v>44953</v>
      </c>
    </row>
    <row r="62" spans="2:2" x14ac:dyDescent="0.35">
      <c r="B62" s="4">
        <v>44954</v>
      </c>
    </row>
    <row r="63" spans="2:2" x14ac:dyDescent="0.35">
      <c r="B63" s="4">
        <v>44955</v>
      </c>
    </row>
    <row r="64" spans="2:2" x14ac:dyDescent="0.35">
      <c r="B64" s="4">
        <v>44956</v>
      </c>
    </row>
    <row r="65" spans="2:2" x14ac:dyDescent="0.35">
      <c r="B65" s="4">
        <v>44957</v>
      </c>
    </row>
    <row r="66" spans="2:2" x14ac:dyDescent="0.35">
      <c r="B66" s="4">
        <v>44958</v>
      </c>
    </row>
    <row r="67" spans="2:2" x14ac:dyDescent="0.35">
      <c r="B67" s="4">
        <v>44959</v>
      </c>
    </row>
    <row r="68" spans="2:2" x14ac:dyDescent="0.35">
      <c r="B68" s="4">
        <v>44960</v>
      </c>
    </row>
    <row r="69" spans="2:2" x14ac:dyDescent="0.35">
      <c r="B69" s="4">
        <v>44961</v>
      </c>
    </row>
    <row r="70" spans="2:2" x14ac:dyDescent="0.35">
      <c r="B70" s="4">
        <v>44962</v>
      </c>
    </row>
    <row r="71" spans="2:2" x14ac:dyDescent="0.35">
      <c r="B71" s="4">
        <v>44963</v>
      </c>
    </row>
    <row r="72" spans="2:2" x14ac:dyDescent="0.35">
      <c r="B72" s="4">
        <v>44964</v>
      </c>
    </row>
    <row r="73" spans="2:2" x14ac:dyDescent="0.35">
      <c r="B73" s="4">
        <v>44965</v>
      </c>
    </row>
    <row r="74" spans="2:2" x14ac:dyDescent="0.35">
      <c r="B74" s="4">
        <v>44966</v>
      </c>
    </row>
    <row r="75" spans="2:2" x14ac:dyDescent="0.35">
      <c r="B75" s="4">
        <v>44967</v>
      </c>
    </row>
    <row r="76" spans="2:2" x14ac:dyDescent="0.35">
      <c r="B76" s="4">
        <v>44968</v>
      </c>
    </row>
    <row r="77" spans="2:2" x14ac:dyDescent="0.35">
      <c r="B77" s="4">
        <v>44969</v>
      </c>
    </row>
    <row r="78" spans="2:2" x14ac:dyDescent="0.35">
      <c r="B78" s="4">
        <v>44970</v>
      </c>
    </row>
    <row r="79" spans="2:2" x14ac:dyDescent="0.35">
      <c r="B79" s="4">
        <v>44971</v>
      </c>
    </row>
    <row r="80" spans="2:2" x14ac:dyDescent="0.35">
      <c r="B80" s="4">
        <v>44972</v>
      </c>
    </row>
    <row r="81" spans="2:2" x14ac:dyDescent="0.35">
      <c r="B81" s="4">
        <v>44973</v>
      </c>
    </row>
    <row r="82" spans="2:2" x14ac:dyDescent="0.35">
      <c r="B82" s="4">
        <v>44974</v>
      </c>
    </row>
    <row r="83" spans="2:2" x14ac:dyDescent="0.35">
      <c r="B83" s="4">
        <v>44975</v>
      </c>
    </row>
    <row r="84" spans="2:2" x14ac:dyDescent="0.35">
      <c r="B84" s="4">
        <v>44976</v>
      </c>
    </row>
    <row r="85" spans="2:2" x14ac:dyDescent="0.35">
      <c r="B85" s="4">
        <v>44977</v>
      </c>
    </row>
    <row r="86" spans="2:2" x14ac:dyDescent="0.35">
      <c r="B86" s="4">
        <v>44978</v>
      </c>
    </row>
    <row r="87" spans="2:2" x14ac:dyDescent="0.35">
      <c r="B87" s="4">
        <v>44979</v>
      </c>
    </row>
    <row r="88" spans="2:2" x14ac:dyDescent="0.35">
      <c r="B88" s="4">
        <v>44980</v>
      </c>
    </row>
    <row r="89" spans="2:2" x14ac:dyDescent="0.35">
      <c r="B89" s="4">
        <v>44981</v>
      </c>
    </row>
    <row r="90" spans="2:2" x14ac:dyDescent="0.35">
      <c r="B90" s="4">
        <v>44982</v>
      </c>
    </row>
    <row r="91" spans="2:2" x14ac:dyDescent="0.35">
      <c r="B91" s="4">
        <v>44983</v>
      </c>
    </row>
    <row r="92" spans="2:2" x14ac:dyDescent="0.35">
      <c r="B92" s="4">
        <v>44984</v>
      </c>
    </row>
    <row r="93" spans="2:2" x14ac:dyDescent="0.35">
      <c r="B93" s="4">
        <v>44985</v>
      </c>
    </row>
    <row r="94" spans="2:2" x14ac:dyDescent="0.35">
      <c r="B94" s="4">
        <v>44986</v>
      </c>
    </row>
    <row r="95" spans="2:2" x14ac:dyDescent="0.35">
      <c r="B95" s="4">
        <v>44987</v>
      </c>
    </row>
    <row r="96" spans="2:2" x14ac:dyDescent="0.35">
      <c r="B96" s="4">
        <v>44988</v>
      </c>
    </row>
    <row r="97" spans="2:2" x14ac:dyDescent="0.35">
      <c r="B97" s="4">
        <v>44989</v>
      </c>
    </row>
    <row r="98" spans="2:2" x14ac:dyDescent="0.35">
      <c r="B98" s="4">
        <v>44990</v>
      </c>
    </row>
    <row r="99" spans="2:2" x14ac:dyDescent="0.35">
      <c r="B99" s="4">
        <v>44991</v>
      </c>
    </row>
    <row r="100" spans="2:2" x14ac:dyDescent="0.35">
      <c r="B100" s="4">
        <v>44992</v>
      </c>
    </row>
    <row r="101" spans="2:2" x14ac:dyDescent="0.35">
      <c r="B101" s="4">
        <v>44993</v>
      </c>
    </row>
    <row r="102" spans="2:2" x14ac:dyDescent="0.35">
      <c r="B102" s="4">
        <v>44994</v>
      </c>
    </row>
    <row r="103" spans="2:2" x14ac:dyDescent="0.35">
      <c r="B103" s="4">
        <v>44995</v>
      </c>
    </row>
    <row r="104" spans="2:2" x14ac:dyDescent="0.35">
      <c r="B104" s="4">
        <v>44996</v>
      </c>
    </row>
    <row r="105" spans="2:2" x14ac:dyDescent="0.35">
      <c r="B105" s="4">
        <v>44997</v>
      </c>
    </row>
    <row r="106" spans="2:2" x14ac:dyDescent="0.35">
      <c r="B106" s="4">
        <v>44998</v>
      </c>
    </row>
    <row r="107" spans="2:2" x14ac:dyDescent="0.35">
      <c r="B107" s="4">
        <v>44999</v>
      </c>
    </row>
    <row r="108" spans="2:2" x14ac:dyDescent="0.35">
      <c r="B108" s="4">
        <v>45000</v>
      </c>
    </row>
    <row r="109" spans="2:2" x14ac:dyDescent="0.35">
      <c r="B109" s="4">
        <v>45001</v>
      </c>
    </row>
    <row r="110" spans="2:2" x14ac:dyDescent="0.35">
      <c r="B110" s="4">
        <v>45002</v>
      </c>
    </row>
    <row r="111" spans="2:2" x14ac:dyDescent="0.35">
      <c r="B111" s="4">
        <v>45003</v>
      </c>
    </row>
    <row r="112" spans="2:2" x14ac:dyDescent="0.35">
      <c r="B112" s="4">
        <v>45004</v>
      </c>
    </row>
    <row r="113" spans="2:2" x14ac:dyDescent="0.35">
      <c r="B113" s="4">
        <v>45005</v>
      </c>
    </row>
    <row r="114" spans="2:2" x14ac:dyDescent="0.35">
      <c r="B114" s="4">
        <v>45006</v>
      </c>
    </row>
    <row r="115" spans="2:2" x14ac:dyDescent="0.35">
      <c r="B115" s="4">
        <v>45007</v>
      </c>
    </row>
    <row r="116" spans="2:2" x14ac:dyDescent="0.35">
      <c r="B116" s="4">
        <v>45008</v>
      </c>
    </row>
    <row r="117" spans="2:2" x14ac:dyDescent="0.35">
      <c r="B117" s="4">
        <v>45009</v>
      </c>
    </row>
    <row r="118" spans="2:2" x14ac:dyDescent="0.35">
      <c r="B118" s="4">
        <v>45010</v>
      </c>
    </row>
    <row r="119" spans="2:2" x14ac:dyDescent="0.35">
      <c r="B119" s="4">
        <v>45011</v>
      </c>
    </row>
    <row r="120" spans="2:2" x14ac:dyDescent="0.35">
      <c r="B120" s="4">
        <v>45012</v>
      </c>
    </row>
    <row r="121" spans="2:2" x14ac:dyDescent="0.35">
      <c r="B121" s="4">
        <v>45013</v>
      </c>
    </row>
    <row r="122" spans="2:2" x14ac:dyDescent="0.35">
      <c r="B122" s="4">
        <v>45014</v>
      </c>
    </row>
    <row r="123" spans="2:2" x14ac:dyDescent="0.35">
      <c r="B123" s="4">
        <v>45015</v>
      </c>
    </row>
    <row r="124" spans="2:2" x14ac:dyDescent="0.35">
      <c r="B124" s="4">
        <v>45016</v>
      </c>
    </row>
    <row r="125" spans="2:2" x14ac:dyDescent="0.35">
      <c r="B125" s="4">
        <v>45017</v>
      </c>
    </row>
    <row r="126" spans="2:2" x14ac:dyDescent="0.35">
      <c r="B126" s="4">
        <v>45018</v>
      </c>
    </row>
    <row r="127" spans="2:2" x14ac:dyDescent="0.35">
      <c r="B127" s="4">
        <v>45019</v>
      </c>
    </row>
    <row r="128" spans="2:2" x14ac:dyDescent="0.35">
      <c r="B128" s="4">
        <v>45020</v>
      </c>
    </row>
    <row r="129" spans="2:2" x14ac:dyDescent="0.35">
      <c r="B129" s="4">
        <v>45021</v>
      </c>
    </row>
    <row r="130" spans="2:2" x14ac:dyDescent="0.35">
      <c r="B130" s="4">
        <v>45022</v>
      </c>
    </row>
    <row r="131" spans="2:2" x14ac:dyDescent="0.35">
      <c r="B131" s="4">
        <v>45023</v>
      </c>
    </row>
    <row r="132" spans="2:2" x14ac:dyDescent="0.35">
      <c r="B132" s="4">
        <v>45024</v>
      </c>
    </row>
    <row r="133" spans="2:2" x14ac:dyDescent="0.35">
      <c r="B133" s="4">
        <v>45025</v>
      </c>
    </row>
    <row r="134" spans="2:2" x14ac:dyDescent="0.35">
      <c r="B134" s="4">
        <v>45026</v>
      </c>
    </row>
    <row r="135" spans="2:2" x14ac:dyDescent="0.35">
      <c r="B135" s="4">
        <v>45027</v>
      </c>
    </row>
    <row r="136" spans="2:2" x14ac:dyDescent="0.35">
      <c r="B136" s="4">
        <v>45028</v>
      </c>
    </row>
    <row r="137" spans="2:2" x14ac:dyDescent="0.35">
      <c r="B137" s="4">
        <v>45029</v>
      </c>
    </row>
    <row r="138" spans="2:2" x14ac:dyDescent="0.35">
      <c r="B138" s="4">
        <v>45030</v>
      </c>
    </row>
    <row r="139" spans="2:2" x14ac:dyDescent="0.35">
      <c r="B139" s="4">
        <v>45031</v>
      </c>
    </row>
    <row r="140" spans="2:2" x14ac:dyDescent="0.35">
      <c r="B140" s="4">
        <v>45032</v>
      </c>
    </row>
    <row r="141" spans="2:2" x14ac:dyDescent="0.35">
      <c r="B141" s="4">
        <v>45033</v>
      </c>
    </row>
    <row r="142" spans="2:2" x14ac:dyDescent="0.35">
      <c r="B142" s="4">
        <v>45034</v>
      </c>
    </row>
    <row r="143" spans="2:2" x14ac:dyDescent="0.35">
      <c r="B143" s="4">
        <v>45035</v>
      </c>
    </row>
    <row r="144" spans="2:2" x14ac:dyDescent="0.35">
      <c r="B144" s="4">
        <v>45036</v>
      </c>
    </row>
    <row r="145" spans="2:2" x14ac:dyDescent="0.35">
      <c r="B145" s="4">
        <v>45037</v>
      </c>
    </row>
    <row r="146" spans="2:2" x14ac:dyDescent="0.35">
      <c r="B146" s="4">
        <v>45038</v>
      </c>
    </row>
    <row r="147" spans="2:2" x14ac:dyDescent="0.35">
      <c r="B147" s="4">
        <v>45039</v>
      </c>
    </row>
    <row r="148" spans="2:2" x14ac:dyDescent="0.35">
      <c r="B148" s="4">
        <v>45040</v>
      </c>
    </row>
    <row r="149" spans="2:2" x14ac:dyDescent="0.35">
      <c r="B149" s="4">
        <v>45041</v>
      </c>
    </row>
    <row r="150" spans="2:2" x14ac:dyDescent="0.35">
      <c r="B150" s="4">
        <v>45042</v>
      </c>
    </row>
    <row r="151" spans="2:2" x14ac:dyDescent="0.35">
      <c r="B151" s="4">
        <v>45043</v>
      </c>
    </row>
    <row r="152" spans="2:2" x14ac:dyDescent="0.35">
      <c r="B152" s="4">
        <v>45044</v>
      </c>
    </row>
    <row r="153" spans="2:2" x14ac:dyDescent="0.35">
      <c r="B153" s="4">
        <v>45045</v>
      </c>
    </row>
    <row r="154" spans="2:2" x14ac:dyDescent="0.35">
      <c r="B154" s="4">
        <v>45046</v>
      </c>
    </row>
    <row r="155" spans="2:2" x14ac:dyDescent="0.35">
      <c r="B155" s="4">
        <v>45047</v>
      </c>
    </row>
    <row r="156" spans="2:2" x14ac:dyDescent="0.35">
      <c r="B156" s="4">
        <v>45048</v>
      </c>
    </row>
    <row r="157" spans="2:2" x14ac:dyDescent="0.35">
      <c r="B157" s="4">
        <v>45049</v>
      </c>
    </row>
    <row r="158" spans="2:2" x14ac:dyDescent="0.35">
      <c r="B158" s="4">
        <v>45050</v>
      </c>
    </row>
    <row r="159" spans="2:2" x14ac:dyDescent="0.35">
      <c r="B159" s="4">
        <v>45051</v>
      </c>
    </row>
    <row r="160" spans="2:2" x14ac:dyDescent="0.35">
      <c r="B160" s="4">
        <v>45052</v>
      </c>
    </row>
    <row r="161" spans="2:2" x14ac:dyDescent="0.35">
      <c r="B161" s="4">
        <v>45053</v>
      </c>
    </row>
    <row r="162" spans="2:2" x14ac:dyDescent="0.35">
      <c r="B162" s="4">
        <v>45054</v>
      </c>
    </row>
    <row r="163" spans="2:2" x14ac:dyDescent="0.35">
      <c r="B163" s="4">
        <v>45055</v>
      </c>
    </row>
    <row r="164" spans="2:2" x14ac:dyDescent="0.35">
      <c r="B164" s="4">
        <v>45056</v>
      </c>
    </row>
    <row r="165" spans="2:2" x14ac:dyDescent="0.35">
      <c r="B165" s="4">
        <v>45057</v>
      </c>
    </row>
    <row r="166" spans="2:2" x14ac:dyDescent="0.35">
      <c r="B166" s="4">
        <v>45058</v>
      </c>
    </row>
    <row r="167" spans="2:2" x14ac:dyDescent="0.35">
      <c r="B167" s="4">
        <v>45059</v>
      </c>
    </row>
    <row r="168" spans="2:2" x14ac:dyDescent="0.35">
      <c r="B168" s="4">
        <v>45060</v>
      </c>
    </row>
    <row r="169" spans="2:2" x14ac:dyDescent="0.35">
      <c r="B169" s="4">
        <v>45061</v>
      </c>
    </row>
    <row r="170" spans="2:2" x14ac:dyDescent="0.35">
      <c r="B170" s="4">
        <v>45062</v>
      </c>
    </row>
    <row r="171" spans="2:2" x14ac:dyDescent="0.35">
      <c r="B171" s="4">
        <v>45063</v>
      </c>
    </row>
    <row r="172" spans="2:2" x14ac:dyDescent="0.35">
      <c r="B172" s="4">
        <v>45064</v>
      </c>
    </row>
    <row r="173" spans="2:2" x14ac:dyDescent="0.35">
      <c r="B173" s="4">
        <v>45065</v>
      </c>
    </row>
    <row r="174" spans="2:2" x14ac:dyDescent="0.35">
      <c r="B174" s="4">
        <v>45066</v>
      </c>
    </row>
    <row r="175" spans="2:2" x14ac:dyDescent="0.35">
      <c r="B175" s="4">
        <v>45067</v>
      </c>
    </row>
    <row r="176" spans="2:2" x14ac:dyDescent="0.35">
      <c r="B176" s="4">
        <v>45068</v>
      </c>
    </row>
    <row r="177" spans="2:2" x14ac:dyDescent="0.35">
      <c r="B177" s="4">
        <v>45069</v>
      </c>
    </row>
    <row r="178" spans="2:2" x14ac:dyDescent="0.35">
      <c r="B178" s="4">
        <v>45070</v>
      </c>
    </row>
    <row r="179" spans="2:2" x14ac:dyDescent="0.35">
      <c r="B179" s="4">
        <v>45071</v>
      </c>
    </row>
    <row r="180" spans="2:2" x14ac:dyDescent="0.35">
      <c r="B180" s="4">
        <v>45072</v>
      </c>
    </row>
    <row r="181" spans="2:2" x14ac:dyDescent="0.35">
      <c r="B181" s="4">
        <v>45073</v>
      </c>
    </row>
    <row r="182" spans="2:2" x14ac:dyDescent="0.35">
      <c r="B182" s="4">
        <v>45074</v>
      </c>
    </row>
    <row r="183" spans="2:2" x14ac:dyDescent="0.35">
      <c r="B183" s="4">
        <v>45075</v>
      </c>
    </row>
    <row r="184" spans="2:2" x14ac:dyDescent="0.35">
      <c r="B184" s="4">
        <v>45076</v>
      </c>
    </row>
    <row r="185" spans="2:2" x14ac:dyDescent="0.35">
      <c r="B185" s="4">
        <v>45077</v>
      </c>
    </row>
    <row r="186" spans="2:2" x14ac:dyDescent="0.35">
      <c r="B186" s="4">
        <v>45078</v>
      </c>
    </row>
    <row r="187" spans="2:2" x14ac:dyDescent="0.35">
      <c r="B187" s="4">
        <v>45079</v>
      </c>
    </row>
    <row r="188" spans="2:2" x14ac:dyDescent="0.35">
      <c r="B188" s="4">
        <v>45080</v>
      </c>
    </row>
    <row r="189" spans="2:2" x14ac:dyDescent="0.35">
      <c r="B189" s="4">
        <v>45081</v>
      </c>
    </row>
    <row r="190" spans="2:2" x14ac:dyDescent="0.35">
      <c r="B190" s="4">
        <v>45082</v>
      </c>
    </row>
    <row r="191" spans="2:2" x14ac:dyDescent="0.35">
      <c r="B191" s="4">
        <v>45083</v>
      </c>
    </row>
    <row r="192" spans="2:2" x14ac:dyDescent="0.35">
      <c r="B192" s="4">
        <v>45084</v>
      </c>
    </row>
    <row r="193" spans="2:2" x14ac:dyDescent="0.35">
      <c r="B193" s="4">
        <v>45085</v>
      </c>
    </row>
    <row r="194" spans="2:2" x14ac:dyDescent="0.35">
      <c r="B194" s="4">
        <v>45086</v>
      </c>
    </row>
    <row r="195" spans="2:2" x14ac:dyDescent="0.35">
      <c r="B195" s="4">
        <v>45087</v>
      </c>
    </row>
    <row r="196" spans="2:2" x14ac:dyDescent="0.35">
      <c r="B196" s="4">
        <v>45088</v>
      </c>
    </row>
    <row r="197" spans="2:2" x14ac:dyDescent="0.35">
      <c r="B197" s="4">
        <v>45089</v>
      </c>
    </row>
    <row r="198" spans="2:2" x14ac:dyDescent="0.35">
      <c r="B198" s="4">
        <v>45090</v>
      </c>
    </row>
    <row r="199" spans="2:2" x14ac:dyDescent="0.35">
      <c r="B199" s="4">
        <v>45091</v>
      </c>
    </row>
    <row r="200" spans="2:2" x14ac:dyDescent="0.35">
      <c r="B200" s="4">
        <v>45092</v>
      </c>
    </row>
    <row r="201" spans="2:2" x14ac:dyDescent="0.35">
      <c r="B201" s="4">
        <v>45093</v>
      </c>
    </row>
    <row r="202" spans="2:2" x14ac:dyDescent="0.35">
      <c r="B202" s="4">
        <v>45094</v>
      </c>
    </row>
    <row r="203" spans="2:2" x14ac:dyDescent="0.35">
      <c r="B203" s="4">
        <v>45095</v>
      </c>
    </row>
    <row r="204" spans="2:2" x14ac:dyDescent="0.35">
      <c r="B204" s="4">
        <v>45096</v>
      </c>
    </row>
    <row r="205" spans="2:2" x14ac:dyDescent="0.35">
      <c r="B205" s="4">
        <v>45097</v>
      </c>
    </row>
    <row r="206" spans="2:2" x14ac:dyDescent="0.35">
      <c r="B206" s="4">
        <v>45098</v>
      </c>
    </row>
    <row r="207" spans="2:2" x14ac:dyDescent="0.35">
      <c r="B207" s="4">
        <v>45099</v>
      </c>
    </row>
    <row r="208" spans="2:2" x14ac:dyDescent="0.35">
      <c r="B208" s="4">
        <v>45100</v>
      </c>
    </row>
    <row r="209" spans="2:2" x14ac:dyDescent="0.35">
      <c r="B209" s="4">
        <v>45101</v>
      </c>
    </row>
    <row r="210" spans="2:2" x14ac:dyDescent="0.35">
      <c r="B210" s="4">
        <v>45102</v>
      </c>
    </row>
    <row r="211" spans="2:2" x14ac:dyDescent="0.35">
      <c r="B211" s="4">
        <v>45103</v>
      </c>
    </row>
    <row r="212" spans="2:2" x14ac:dyDescent="0.35">
      <c r="B212" s="4">
        <v>45104</v>
      </c>
    </row>
    <row r="213" spans="2:2" x14ac:dyDescent="0.35">
      <c r="B213" s="4">
        <v>45105</v>
      </c>
    </row>
    <row r="214" spans="2:2" x14ac:dyDescent="0.35">
      <c r="B214" s="4">
        <v>45106</v>
      </c>
    </row>
    <row r="215" spans="2:2" x14ac:dyDescent="0.35">
      <c r="B215" s="4">
        <v>45107</v>
      </c>
    </row>
    <row r="216" spans="2:2" x14ac:dyDescent="0.35">
      <c r="B216" s="4">
        <v>45108</v>
      </c>
    </row>
    <row r="217" spans="2:2" x14ac:dyDescent="0.35">
      <c r="B217" s="4">
        <v>45109</v>
      </c>
    </row>
    <row r="218" spans="2:2" x14ac:dyDescent="0.35">
      <c r="B218" s="4">
        <v>45110</v>
      </c>
    </row>
    <row r="219" spans="2:2" x14ac:dyDescent="0.35">
      <c r="B219" s="4">
        <v>45111</v>
      </c>
    </row>
    <row r="220" spans="2:2" x14ac:dyDescent="0.35">
      <c r="B220" s="4">
        <v>45112</v>
      </c>
    </row>
    <row r="221" spans="2:2" x14ac:dyDescent="0.35">
      <c r="B221" s="4">
        <v>45113</v>
      </c>
    </row>
    <row r="222" spans="2:2" x14ac:dyDescent="0.35">
      <c r="B222" s="4">
        <v>45114</v>
      </c>
    </row>
    <row r="223" spans="2:2" x14ac:dyDescent="0.35">
      <c r="B223" s="4">
        <v>45115</v>
      </c>
    </row>
    <row r="224" spans="2:2" x14ac:dyDescent="0.35">
      <c r="B224" s="4">
        <v>45116</v>
      </c>
    </row>
    <row r="225" spans="2:2" x14ac:dyDescent="0.35">
      <c r="B225" s="4">
        <v>45117</v>
      </c>
    </row>
    <row r="226" spans="2:2" x14ac:dyDescent="0.35">
      <c r="B226" s="4">
        <v>45118</v>
      </c>
    </row>
    <row r="227" spans="2:2" x14ac:dyDescent="0.35">
      <c r="B227" s="4">
        <v>45119</v>
      </c>
    </row>
    <row r="228" spans="2:2" x14ac:dyDescent="0.35">
      <c r="B228" s="4">
        <v>45120</v>
      </c>
    </row>
    <row r="229" spans="2:2" x14ac:dyDescent="0.35">
      <c r="B229" s="4">
        <v>45121</v>
      </c>
    </row>
    <row r="230" spans="2:2" x14ac:dyDescent="0.35">
      <c r="B230" s="4">
        <v>45122</v>
      </c>
    </row>
    <row r="231" spans="2:2" x14ac:dyDescent="0.35">
      <c r="B231" s="4">
        <v>45123</v>
      </c>
    </row>
    <row r="232" spans="2:2" x14ac:dyDescent="0.35">
      <c r="B232" s="4">
        <v>45124</v>
      </c>
    </row>
    <row r="233" spans="2:2" x14ac:dyDescent="0.35">
      <c r="B233" s="4">
        <v>45125</v>
      </c>
    </row>
    <row r="234" spans="2:2" x14ac:dyDescent="0.35">
      <c r="B234" s="4">
        <v>45126</v>
      </c>
    </row>
    <row r="235" spans="2:2" x14ac:dyDescent="0.35">
      <c r="B235" s="4">
        <v>45127</v>
      </c>
    </row>
    <row r="236" spans="2:2" x14ac:dyDescent="0.35">
      <c r="B236" s="4">
        <v>45128</v>
      </c>
    </row>
    <row r="237" spans="2:2" x14ac:dyDescent="0.35">
      <c r="B237" s="4">
        <v>45129</v>
      </c>
    </row>
    <row r="238" spans="2:2" x14ac:dyDescent="0.35">
      <c r="B238" s="4">
        <v>45130</v>
      </c>
    </row>
    <row r="239" spans="2:2" x14ac:dyDescent="0.35">
      <c r="B239" s="4">
        <v>45131</v>
      </c>
    </row>
    <row r="240" spans="2:2" x14ac:dyDescent="0.35">
      <c r="B240" s="4">
        <v>45132</v>
      </c>
    </row>
    <row r="241" spans="2:2" x14ac:dyDescent="0.35">
      <c r="B241" s="4">
        <v>45133</v>
      </c>
    </row>
    <row r="242" spans="2:2" x14ac:dyDescent="0.35">
      <c r="B242" s="4">
        <v>45134</v>
      </c>
    </row>
    <row r="243" spans="2:2" x14ac:dyDescent="0.35">
      <c r="B243" s="4">
        <v>45135</v>
      </c>
    </row>
    <row r="244" spans="2:2" x14ac:dyDescent="0.35">
      <c r="B244" s="4">
        <v>45136</v>
      </c>
    </row>
    <row r="245" spans="2:2" x14ac:dyDescent="0.35">
      <c r="B245" s="4">
        <v>45137</v>
      </c>
    </row>
    <row r="246" spans="2:2" x14ac:dyDescent="0.35">
      <c r="B246" s="4">
        <v>45138</v>
      </c>
    </row>
    <row r="247" spans="2:2" x14ac:dyDescent="0.35">
      <c r="B247" s="4">
        <v>45139</v>
      </c>
    </row>
    <row r="248" spans="2:2" x14ac:dyDescent="0.35">
      <c r="B248" s="4">
        <v>45140</v>
      </c>
    </row>
    <row r="249" spans="2:2" x14ac:dyDescent="0.35">
      <c r="B249" s="4">
        <v>45141</v>
      </c>
    </row>
    <row r="250" spans="2:2" x14ac:dyDescent="0.35">
      <c r="B250" s="4">
        <v>45142</v>
      </c>
    </row>
    <row r="251" spans="2:2" x14ac:dyDescent="0.35">
      <c r="B251" s="4">
        <v>45143</v>
      </c>
    </row>
    <row r="252" spans="2:2" x14ac:dyDescent="0.35">
      <c r="B252" s="4">
        <v>45144</v>
      </c>
    </row>
    <row r="253" spans="2:2" x14ac:dyDescent="0.35">
      <c r="B253" s="4">
        <v>45145</v>
      </c>
    </row>
    <row r="254" spans="2:2" x14ac:dyDescent="0.35">
      <c r="B254" s="4">
        <v>45146</v>
      </c>
    </row>
    <row r="255" spans="2:2" x14ac:dyDescent="0.35">
      <c r="B255" s="4">
        <v>45147</v>
      </c>
    </row>
    <row r="256" spans="2:2" x14ac:dyDescent="0.35">
      <c r="B256" s="4">
        <v>45148</v>
      </c>
    </row>
    <row r="257" spans="2:2" x14ac:dyDescent="0.35">
      <c r="B257" s="4">
        <v>45149</v>
      </c>
    </row>
    <row r="258" spans="2:2" x14ac:dyDescent="0.35">
      <c r="B258" s="4">
        <v>45150</v>
      </c>
    </row>
    <row r="259" spans="2:2" x14ac:dyDescent="0.35">
      <c r="B259" s="4">
        <v>45151</v>
      </c>
    </row>
    <row r="260" spans="2:2" x14ac:dyDescent="0.35">
      <c r="B260" s="4">
        <v>45152</v>
      </c>
    </row>
    <row r="261" spans="2:2" x14ac:dyDescent="0.35">
      <c r="B261" s="4">
        <v>45153</v>
      </c>
    </row>
    <row r="262" spans="2:2" x14ac:dyDescent="0.35">
      <c r="B262" s="4">
        <v>45154</v>
      </c>
    </row>
    <row r="263" spans="2:2" x14ac:dyDescent="0.35">
      <c r="B263" s="4">
        <v>45155</v>
      </c>
    </row>
    <row r="264" spans="2:2" x14ac:dyDescent="0.35">
      <c r="B264" s="4">
        <v>45156</v>
      </c>
    </row>
    <row r="265" spans="2:2" x14ac:dyDescent="0.35">
      <c r="B265" s="4">
        <v>45157</v>
      </c>
    </row>
    <row r="266" spans="2:2" x14ac:dyDescent="0.35">
      <c r="B266" s="4">
        <v>45158</v>
      </c>
    </row>
    <row r="267" spans="2:2" x14ac:dyDescent="0.35">
      <c r="B267" s="4">
        <v>45159</v>
      </c>
    </row>
    <row r="268" spans="2:2" x14ac:dyDescent="0.35">
      <c r="B268" s="4">
        <v>45160</v>
      </c>
    </row>
    <row r="269" spans="2:2" x14ac:dyDescent="0.35">
      <c r="B269" s="4">
        <v>45161</v>
      </c>
    </row>
    <row r="270" spans="2:2" x14ac:dyDescent="0.35">
      <c r="B270" s="4">
        <v>45162</v>
      </c>
    </row>
    <row r="271" spans="2:2" x14ac:dyDescent="0.35">
      <c r="B271" s="4">
        <v>45163</v>
      </c>
    </row>
    <row r="272" spans="2:2" x14ac:dyDescent="0.35">
      <c r="B272" s="4">
        <v>45164</v>
      </c>
    </row>
    <row r="273" spans="2:2" x14ac:dyDescent="0.35">
      <c r="B273" s="4">
        <v>45165</v>
      </c>
    </row>
    <row r="274" spans="2:2" x14ac:dyDescent="0.35">
      <c r="B274" s="4">
        <v>45166</v>
      </c>
    </row>
    <row r="275" spans="2:2" x14ac:dyDescent="0.35">
      <c r="B275" s="4">
        <v>45167</v>
      </c>
    </row>
    <row r="276" spans="2:2" x14ac:dyDescent="0.35">
      <c r="B276" s="4">
        <v>45168</v>
      </c>
    </row>
    <row r="277" spans="2:2" x14ac:dyDescent="0.35">
      <c r="B277" s="4">
        <v>45169</v>
      </c>
    </row>
    <row r="278" spans="2:2" x14ac:dyDescent="0.35">
      <c r="B278" s="4">
        <v>45170</v>
      </c>
    </row>
    <row r="279" spans="2:2" x14ac:dyDescent="0.35">
      <c r="B279" s="4">
        <v>45171</v>
      </c>
    </row>
    <row r="280" spans="2:2" x14ac:dyDescent="0.35">
      <c r="B280" s="4">
        <v>45172</v>
      </c>
    </row>
    <row r="281" spans="2:2" x14ac:dyDescent="0.35">
      <c r="B281" s="4">
        <v>45173</v>
      </c>
    </row>
    <row r="282" spans="2:2" x14ac:dyDescent="0.35">
      <c r="B282" s="4">
        <v>45174</v>
      </c>
    </row>
    <row r="283" spans="2:2" x14ac:dyDescent="0.35">
      <c r="B283" s="4">
        <v>45175</v>
      </c>
    </row>
    <row r="284" spans="2:2" x14ac:dyDescent="0.35">
      <c r="B284" s="4">
        <v>45176</v>
      </c>
    </row>
    <row r="285" spans="2:2" x14ac:dyDescent="0.35">
      <c r="B285" s="4">
        <v>45177</v>
      </c>
    </row>
    <row r="286" spans="2:2" x14ac:dyDescent="0.35">
      <c r="B286" s="4">
        <v>45178</v>
      </c>
    </row>
    <row r="287" spans="2:2" x14ac:dyDescent="0.35">
      <c r="B287" s="4">
        <v>45179</v>
      </c>
    </row>
    <row r="288" spans="2:2" x14ac:dyDescent="0.35">
      <c r="B288" s="4">
        <v>45180</v>
      </c>
    </row>
    <row r="289" spans="2:2" x14ac:dyDescent="0.35">
      <c r="B289" s="4">
        <v>45181</v>
      </c>
    </row>
    <row r="290" spans="2:2" x14ac:dyDescent="0.35">
      <c r="B290" s="4">
        <v>45182</v>
      </c>
    </row>
    <row r="291" spans="2:2" x14ac:dyDescent="0.35">
      <c r="B291" s="4">
        <v>45183</v>
      </c>
    </row>
    <row r="292" spans="2:2" x14ac:dyDescent="0.35">
      <c r="B292" s="4">
        <v>45184</v>
      </c>
    </row>
    <row r="293" spans="2:2" x14ac:dyDescent="0.35">
      <c r="B293" s="4">
        <v>45185</v>
      </c>
    </row>
    <row r="294" spans="2:2" x14ac:dyDescent="0.35">
      <c r="B294" s="4">
        <v>45186</v>
      </c>
    </row>
    <row r="295" spans="2:2" x14ac:dyDescent="0.35">
      <c r="B295" s="4">
        <v>45187</v>
      </c>
    </row>
    <row r="296" spans="2:2" x14ac:dyDescent="0.35">
      <c r="B296" s="4">
        <v>45188</v>
      </c>
    </row>
    <row r="297" spans="2:2" x14ac:dyDescent="0.35">
      <c r="B297" s="4">
        <v>45189</v>
      </c>
    </row>
    <row r="298" spans="2:2" x14ac:dyDescent="0.35">
      <c r="B298" s="4">
        <v>45190</v>
      </c>
    </row>
    <row r="299" spans="2:2" x14ac:dyDescent="0.35">
      <c r="B299" s="4">
        <v>45191</v>
      </c>
    </row>
    <row r="300" spans="2:2" x14ac:dyDescent="0.35">
      <c r="B300" s="4">
        <v>45192</v>
      </c>
    </row>
    <row r="301" spans="2:2" x14ac:dyDescent="0.35">
      <c r="B301" s="4">
        <v>45193</v>
      </c>
    </row>
    <row r="302" spans="2:2" x14ac:dyDescent="0.35">
      <c r="B302" s="4">
        <v>45194</v>
      </c>
    </row>
    <row r="303" spans="2:2" x14ac:dyDescent="0.35">
      <c r="B303" s="4">
        <v>45195</v>
      </c>
    </row>
    <row r="304" spans="2:2" x14ac:dyDescent="0.35">
      <c r="B304" s="4">
        <v>45196</v>
      </c>
    </row>
    <row r="305" spans="2:2" x14ac:dyDescent="0.35">
      <c r="B305" s="4">
        <v>45197</v>
      </c>
    </row>
    <row r="306" spans="2:2" x14ac:dyDescent="0.35">
      <c r="B306" s="4">
        <v>45198</v>
      </c>
    </row>
    <row r="307" spans="2:2" x14ac:dyDescent="0.35">
      <c r="B307" s="4">
        <v>45199</v>
      </c>
    </row>
    <row r="308" spans="2:2" x14ac:dyDescent="0.35">
      <c r="B308" s="4">
        <v>45200</v>
      </c>
    </row>
    <row r="309" spans="2:2" x14ac:dyDescent="0.35">
      <c r="B309" s="4">
        <v>45201</v>
      </c>
    </row>
    <row r="310" spans="2:2" x14ac:dyDescent="0.35">
      <c r="B310" s="4">
        <v>45202</v>
      </c>
    </row>
    <row r="311" spans="2:2" x14ac:dyDescent="0.35">
      <c r="B311" s="4">
        <v>45203</v>
      </c>
    </row>
    <row r="312" spans="2:2" x14ac:dyDescent="0.35">
      <c r="B312" s="4">
        <v>45204</v>
      </c>
    </row>
    <row r="313" spans="2:2" x14ac:dyDescent="0.35">
      <c r="B313" s="4">
        <v>45205</v>
      </c>
    </row>
    <row r="314" spans="2:2" x14ac:dyDescent="0.35">
      <c r="B314" s="4">
        <v>45206</v>
      </c>
    </row>
    <row r="315" spans="2:2" x14ac:dyDescent="0.35">
      <c r="B315" s="4">
        <v>45207</v>
      </c>
    </row>
    <row r="316" spans="2:2" x14ac:dyDescent="0.35">
      <c r="B316" s="4">
        <v>45208</v>
      </c>
    </row>
    <row r="317" spans="2:2" x14ac:dyDescent="0.35">
      <c r="B317" s="4">
        <v>45209</v>
      </c>
    </row>
    <row r="318" spans="2:2" x14ac:dyDescent="0.35">
      <c r="B318" s="4">
        <v>45210</v>
      </c>
    </row>
    <row r="319" spans="2:2" x14ac:dyDescent="0.35">
      <c r="B319" s="4">
        <v>45211</v>
      </c>
    </row>
    <row r="320" spans="2:2" x14ac:dyDescent="0.35">
      <c r="B320" s="4">
        <v>45212</v>
      </c>
    </row>
    <row r="321" spans="2:2" x14ac:dyDescent="0.35">
      <c r="B321" s="4">
        <v>45213</v>
      </c>
    </row>
    <row r="322" spans="2:2" x14ac:dyDescent="0.35">
      <c r="B322" s="4">
        <v>45214</v>
      </c>
    </row>
    <row r="323" spans="2:2" x14ac:dyDescent="0.35">
      <c r="B323" s="4">
        <v>45215</v>
      </c>
    </row>
    <row r="324" spans="2:2" x14ac:dyDescent="0.35">
      <c r="B324" s="4">
        <v>45216</v>
      </c>
    </row>
    <row r="325" spans="2:2" x14ac:dyDescent="0.35">
      <c r="B325" s="4">
        <v>45217</v>
      </c>
    </row>
    <row r="326" spans="2:2" x14ac:dyDescent="0.35">
      <c r="B326" s="4">
        <v>45218</v>
      </c>
    </row>
    <row r="327" spans="2:2" x14ac:dyDescent="0.35">
      <c r="B327" s="4">
        <v>45219</v>
      </c>
    </row>
    <row r="328" spans="2:2" x14ac:dyDescent="0.35">
      <c r="B328" s="4">
        <v>45220</v>
      </c>
    </row>
    <row r="329" spans="2:2" x14ac:dyDescent="0.35">
      <c r="B329" s="4">
        <v>45221</v>
      </c>
    </row>
    <row r="330" spans="2:2" x14ac:dyDescent="0.35">
      <c r="B330" s="4">
        <v>45222</v>
      </c>
    </row>
    <row r="331" spans="2:2" x14ac:dyDescent="0.35">
      <c r="B331" s="4">
        <v>45223</v>
      </c>
    </row>
    <row r="332" spans="2:2" x14ac:dyDescent="0.35">
      <c r="B332" s="4">
        <v>45224</v>
      </c>
    </row>
    <row r="333" spans="2:2" x14ac:dyDescent="0.35">
      <c r="B333" s="4">
        <v>45225</v>
      </c>
    </row>
    <row r="334" spans="2:2" x14ac:dyDescent="0.35">
      <c r="B334" s="4">
        <v>45226</v>
      </c>
    </row>
    <row r="335" spans="2:2" x14ac:dyDescent="0.35">
      <c r="B335" s="4">
        <v>45227</v>
      </c>
    </row>
    <row r="336" spans="2:2" x14ac:dyDescent="0.35">
      <c r="B336" s="4">
        <v>45228</v>
      </c>
    </row>
    <row r="337" spans="2:2" x14ac:dyDescent="0.35">
      <c r="B337" s="4">
        <v>45229</v>
      </c>
    </row>
    <row r="338" spans="2:2" x14ac:dyDescent="0.35">
      <c r="B338" s="4">
        <v>45230</v>
      </c>
    </row>
    <row r="339" spans="2:2" x14ac:dyDescent="0.35">
      <c r="B339" s="4">
        <v>45231</v>
      </c>
    </row>
    <row r="340" spans="2:2" x14ac:dyDescent="0.35">
      <c r="B340" s="4">
        <v>45232</v>
      </c>
    </row>
    <row r="341" spans="2:2" x14ac:dyDescent="0.35">
      <c r="B341" s="4">
        <v>45233</v>
      </c>
    </row>
    <row r="342" spans="2:2" x14ac:dyDescent="0.35">
      <c r="B342" s="4">
        <v>45234</v>
      </c>
    </row>
    <row r="343" spans="2:2" x14ac:dyDescent="0.35">
      <c r="B343" s="4">
        <v>45235</v>
      </c>
    </row>
    <row r="344" spans="2:2" x14ac:dyDescent="0.35">
      <c r="B344" s="4">
        <v>45236</v>
      </c>
    </row>
    <row r="345" spans="2:2" x14ac:dyDescent="0.35">
      <c r="B345" s="4">
        <v>45237</v>
      </c>
    </row>
    <row r="346" spans="2:2" x14ac:dyDescent="0.35">
      <c r="B346" s="4">
        <v>45238</v>
      </c>
    </row>
    <row r="347" spans="2:2" x14ac:dyDescent="0.35">
      <c r="B347" s="4">
        <v>45239</v>
      </c>
    </row>
    <row r="348" spans="2:2" x14ac:dyDescent="0.35">
      <c r="B348" s="4">
        <v>45240</v>
      </c>
    </row>
    <row r="349" spans="2:2" x14ac:dyDescent="0.35">
      <c r="B349" s="4">
        <v>45241</v>
      </c>
    </row>
    <row r="350" spans="2:2" x14ac:dyDescent="0.35">
      <c r="B350" s="4">
        <v>45242</v>
      </c>
    </row>
    <row r="351" spans="2:2" x14ac:dyDescent="0.35">
      <c r="B351" s="4">
        <v>45243</v>
      </c>
    </row>
    <row r="352" spans="2:2" x14ac:dyDescent="0.35">
      <c r="B352" s="4">
        <v>45244</v>
      </c>
    </row>
    <row r="353" spans="2:2" x14ac:dyDescent="0.35">
      <c r="B353" s="4">
        <v>45245</v>
      </c>
    </row>
    <row r="354" spans="2:2" x14ac:dyDescent="0.35">
      <c r="B354" s="4">
        <v>45246</v>
      </c>
    </row>
    <row r="355" spans="2:2" x14ac:dyDescent="0.35">
      <c r="B355" s="4">
        <v>45247</v>
      </c>
    </row>
    <row r="356" spans="2:2" x14ac:dyDescent="0.35">
      <c r="B356" s="4">
        <v>45248</v>
      </c>
    </row>
    <row r="357" spans="2:2" x14ac:dyDescent="0.35">
      <c r="B357" s="4">
        <v>45249</v>
      </c>
    </row>
    <row r="358" spans="2:2" x14ac:dyDescent="0.35">
      <c r="B358" s="4">
        <v>45250</v>
      </c>
    </row>
    <row r="359" spans="2:2" x14ac:dyDescent="0.35">
      <c r="B359" s="4">
        <v>45251</v>
      </c>
    </row>
    <row r="360" spans="2:2" x14ac:dyDescent="0.35">
      <c r="B360" s="4">
        <v>45252</v>
      </c>
    </row>
    <row r="361" spans="2:2" x14ac:dyDescent="0.35">
      <c r="B361" s="4">
        <v>45253</v>
      </c>
    </row>
    <row r="362" spans="2:2" x14ac:dyDescent="0.35">
      <c r="B362" s="4">
        <v>45254</v>
      </c>
    </row>
    <row r="363" spans="2:2" x14ac:dyDescent="0.35">
      <c r="B363" s="4">
        <v>45255</v>
      </c>
    </row>
    <row r="364" spans="2:2" x14ac:dyDescent="0.35">
      <c r="B364" s="4">
        <v>45256</v>
      </c>
    </row>
    <row r="365" spans="2:2" x14ac:dyDescent="0.35">
      <c r="B365" s="4">
        <v>45257</v>
      </c>
    </row>
    <row r="366" spans="2:2" x14ac:dyDescent="0.35">
      <c r="B366" s="4">
        <v>45258</v>
      </c>
    </row>
    <row r="367" spans="2:2" x14ac:dyDescent="0.35">
      <c r="B367" s="4">
        <v>45259</v>
      </c>
    </row>
    <row r="368" spans="2:2" x14ac:dyDescent="0.35">
      <c r="B368" s="4">
        <v>45260</v>
      </c>
    </row>
    <row r="369" spans="2:2" x14ac:dyDescent="0.35">
      <c r="B369" s="4">
        <v>45261</v>
      </c>
    </row>
    <row r="370" spans="2:2" x14ac:dyDescent="0.35">
      <c r="B370" s="4">
        <v>45262</v>
      </c>
    </row>
    <row r="371" spans="2:2" x14ac:dyDescent="0.35">
      <c r="B371" s="4">
        <v>45263</v>
      </c>
    </row>
    <row r="372" spans="2:2" x14ac:dyDescent="0.35">
      <c r="B372" s="4">
        <v>45264</v>
      </c>
    </row>
    <row r="373" spans="2:2" x14ac:dyDescent="0.35">
      <c r="B373" s="4">
        <v>45265</v>
      </c>
    </row>
    <row r="374" spans="2:2" x14ac:dyDescent="0.35">
      <c r="B374" s="4">
        <v>45266</v>
      </c>
    </row>
    <row r="375" spans="2:2" x14ac:dyDescent="0.35">
      <c r="B375" s="4">
        <v>45267</v>
      </c>
    </row>
    <row r="376" spans="2:2" x14ac:dyDescent="0.35">
      <c r="B376" s="4">
        <v>45268</v>
      </c>
    </row>
    <row r="377" spans="2:2" x14ac:dyDescent="0.35">
      <c r="B377" s="4">
        <v>45269</v>
      </c>
    </row>
    <row r="378" spans="2:2" x14ac:dyDescent="0.35">
      <c r="B378" s="4">
        <v>45270</v>
      </c>
    </row>
    <row r="379" spans="2:2" x14ac:dyDescent="0.35">
      <c r="B379" s="4">
        <v>45271</v>
      </c>
    </row>
    <row r="380" spans="2:2" x14ac:dyDescent="0.35">
      <c r="B380" s="4">
        <v>45272</v>
      </c>
    </row>
    <row r="381" spans="2:2" x14ac:dyDescent="0.35">
      <c r="B381" s="4">
        <v>45273</v>
      </c>
    </row>
    <row r="382" spans="2:2" x14ac:dyDescent="0.35">
      <c r="B382" s="4">
        <v>45274</v>
      </c>
    </row>
    <row r="383" spans="2:2" x14ac:dyDescent="0.35">
      <c r="B383" s="4">
        <v>45275</v>
      </c>
    </row>
    <row r="384" spans="2:2" x14ac:dyDescent="0.35">
      <c r="B384" s="4">
        <v>45276</v>
      </c>
    </row>
    <row r="385" spans="2:2" x14ac:dyDescent="0.35">
      <c r="B385" s="4">
        <v>45277</v>
      </c>
    </row>
    <row r="386" spans="2:2" x14ac:dyDescent="0.35">
      <c r="B386" s="4">
        <v>45278</v>
      </c>
    </row>
    <row r="387" spans="2:2" x14ac:dyDescent="0.35">
      <c r="B387" s="4">
        <v>45279</v>
      </c>
    </row>
    <row r="388" spans="2:2" x14ac:dyDescent="0.35">
      <c r="B388" s="4">
        <v>45280</v>
      </c>
    </row>
    <row r="389" spans="2:2" x14ac:dyDescent="0.35">
      <c r="B389" s="4">
        <v>45281</v>
      </c>
    </row>
    <row r="390" spans="2:2" x14ac:dyDescent="0.35">
      <c r="B390" s="4">
        <v>45282</v>
      </c>
    </row>
    <row r="391" spans="2:2" x14ac:dyDescent="0.35">
      <c r="B391" s="4">
        <v>45283</v>
      </c>
    </row>
    <row r="392" spans="2:2" x14ac:dyDescent="0.35">
      <c r="B392" s="4">
        <v>45284</v>
      </c>
    </row>
    <row r="393" spans="2:2" x14ac:dyDescent="0.35">
      <c r="B393" s="4">
        <v>45285</v>
      </c>
    </row>
    <row r="394" spans="2:2" x14ac:dyDescent="0.35">
      <c r="B394" s="4">
        <v>45286</v>
      </c>
    </row>
    <row r="395" spans="2:2" x14ac:dyDescent="0.35">
      <c r="B395" s="4">
        <v>45287</v>
      </c>
    </row>
    <row r="396" spans="2:2" x14ac:dyDescent="0.35">
      <c r="B396" s="4">
        <v>45288</v>
      </c>
    </row>
    <row r="397" spans="2:2" x14ac:dyDescent="0.35">
      <c r="B397" s="4">
        <v>45289</v>
      </c>
    </row>
    <row r="398" spans="2:2" x14ac:dyDescent="0.35">
      <c r="B398" s="4">
        <v>45290</v>
      </c>
    </row>
    <row r="399" spans="2:2" x14ac:dyDescent="0.35">
      <c r="B399" s="4">
        <v>45291</v>
      </c>
    </row>
    <row r="400" spans="2:2" x14ac:dyDescent="0.35">
      <c r="B400" s="4"/>
    </row>
  </sheetData>
  <conditionalFormatting sqref="E8:E13">
    <cfRule type="cellIs" dxfId="1" priority="1" operator="equal">
      <formula>"Pago"</formula>
    </cfRule>
    <cfRule type="cellIs" dxfId="0" priority="2" operator="equal">
      <formula>"Não Pago"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Despesas Detalhe</vt:lpstr>
      <vt:lpstr>Despesas (Totalizadas)</vt:lpstr>
      <vt:lpstr>Fatores (Contas)</vt:lpstr>
    </vt:vector>
  </TitlesOfParts>
  <Manager/>
  <Company>Norac Foods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Goncalves</dc:creator>
  <cp:keywords/>
  <dc:description/>
  <cp:lastModifiedBy>Francisco Douglas Santos Gonçalves</cp:lastModifiedBy>
  <cp:revision/>
  <dcterms:created xsi:type="dcterms:W3CDTF">2022-09-19T18:25:02Z</dcterms:created>
  <dcterms:modified xsi:type="dcterms:W3CDTF">2026-06-01T12:28:57Z</dcterms:modified>
  <cp:category/>
  <cp:contentStatus/>
</cp:coreProperties>
</file>